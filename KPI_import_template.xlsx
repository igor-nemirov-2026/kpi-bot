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Настройки" sheetId="2" state="visible" r:id="rId4"/>
    <sheet name="Справочник_KPI" sheetId="3" state="visible" r:id="rId5"/>
    <sheet name="Календарь" sheetId="4" state="visible" r:id="rId6"/>
    <sheet name="План_месяцы" sheetId="5" state="visible" r:id="rId7"/>
    <sheet name="Факт_месяцы" sheetId="6" state="visible" r:id="rId8"/>
    <sheet name="Прошлый_год" sheetId="7" state="visible" r:id="rId9"/>
    <sheet name="Факт_дни" sheetId="8" state="visible" r:id="rId10"/>
    <sheet name="Факт_недели" sheetId="9" state="visible" r:id="rId11"/>
    <sheet name="Проверка" sheetId="10" state="visible" r:id="rId12"/>
  </sheets>
  <definedNames>
    <definedName function="false" hidden="true" localSheetId="2" name="_xlnm._FilterDatabase" vbProcedure="false">Справочник_KPI!$A$1:$N$51</definedName>
    <definedName function="false" hidden="true" localSheetId="7" name="_xlnm._FilterDatabase" vbProcedure="false">Факт_дни!$A$1:$C$494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cfo — финансовый директор, owner — собственник, sales — коммерция, purchase — закупки. Пусто — служебный показатель (участвует в формулах, на дашборде не виден).</t>
        </r>
      </text>
    </comment>
    <comment ref="G1" authorId="0">
      <text>
        <r>
          <rPr>
            <sz val="10"/>
            <rFont val="Arial"/>
            <family val="2"/>
          </rPr>
          <t xml:space="preserve">sum — сумма по дням; avg — среднее; last — значение на последнюю дату; formula — из других kpi_id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Формула = Рабочий × 1. Чтобы пятница весила больше, введите вместо формулы число (например 1,1). Праздник: Рабочий = 0.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Год: sum — сумма месяцев, avg — среднее, last — последний заполненный месяц. Формульные KPI (маржа, EBITDA, CCC…) не планируются отдельно — план считается из составляющих.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Год нараст.: по заполненным закрытым месяцам. Текущий месяц не заполнять — он считается из Факт_дни.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Факт прошлого года по месяцам — для г/г.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sum — за день; last — на конец дня; avg — значение дня. Единицы — как в Справочник_KPI (млн грн, %, дни, ТТ…). 1С может перезаписывать этот лист целиком или выгружать CSV fact_daily_*.csv, которые загружаются в папку data.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Понедельник недели. Значение — на конец недели.</t>
        </r>
      </text>
    </comment>
  </commentList>
</comments>
</file>

<file path=xl/sharedStrings.xml><?xml version="1.0" encoding="utf-8"?>
<sst xmlns="http://schemas.openxmlformats.org/spreadsheetml/2006/main" count="1450" uniqueCount="391">
  <si>
    <t xml:space="preserve">Шаблон импорта KPI</t>
  </si>
  <si>
    <t xml:space="preserve">Назначение</t>
  </si>
  <si>
    <t xml:space="preserve">Единственный источник данных для дашбордов CFO, собственника, коммерции и закупок. Файл лежит в репозитории GitHub в папке data. Каждый раз, когда его загружают заново, а также в 10:00 и 15:00, GitHub считает KPI и публикует сводку, картинки и полный дашборд в Telegram.</t>
  </si>
  <si>
    <t xml:space="preserve">Где лежит</t>
  </si>
  <si>
    <t xml:space="preserve">GitHub → репозиторий → папка data → KPI_import_template.xlsx. Обновить: GitHub → data → Add file → Upload files → перетащить файл с тем же именем → Commit changes. Имя файла, листов и заголовки столбцов не менять — по ним программа находит данные.</t>
  </si>
  <si>
    <t xml:space="preserve">Цвет заголовка</t>
  </si>
  <si>
    <t xml:space="preserve">Кто заполняет</t>
  </si>
  <si>
    <t xml:space="preserve">Зелёный</t>
  </si>
  <si>
    <t xml:space="preserve">Выгрузка из 1С, ежедневно: Факт_дни, Факт_недели. Можно вместо листов загружать в ту же папку data CSV-файлы fact_daily_*.csv из 1С.</t>
  </si>
  <si>
    <t xml:space="preserve">Оранжевый</t>
  </si>
  <si>
    <t xml:space="preserve">Финансист / планово-экономический отдел, раз в год и при корректировке: План_месяцы, Прошлый_год, Факт_месяцы (закрытые месяцы, после закрытия периода), Календарь, Настройки.</t>
  </si>
  <si>
    <t xml:space="preserve">Серый</t>
  </si>
  <si>
    <t xml:space="preserve">Справочник KPI и формулы проверки. Справочник меняется только при добавлении показателя.</t>
  </si>
  <si>
    <t xml:space="preserve">Жёлтая ячейка</t>
  </si>
  <si>
    <t xml:space="preserve">Ключевые параметры, которые нужно проверить при внедрении.</t>
  </si>
  <si>
    <t xml:space="preserve">Синий шрифт</t>
  </si>
  <si>
    <t xml:space="preserve">Введённые значения (пример). Чёрный — формулы, их не трогать.</t>
  </si>
  <si>
    <t xml:space="preserve">Листы</t>
  </si>
  <si>
    <t xml:space="preserve">Настройки</t>
  </si>
  <si>
    <t xml:space="preserve">Компания, год, дата отчёта (пусто = последняя дата в Факт_дни), пороги светофора.</t>
  </si>
  <si>
    <t xml:space="preserve">Справочник_KPI</t>
  </si>
  <si>
    <t xml:space="preserve">Один показатель — одна строка. Роли через запятую (cfo, owner, sales, purchase). Тип: sum — суммируется по дням; avg — среднее за период; last — значение на последнюю дату; formula — считается из других kpi_id по формуле, например {gp}/{rev}*100. ANN — коэффициент приведения к году.</t>
  </si>
  <si>
    <t xml:space="preserve">Календарь</t>
  </si>
  <si>
    <t xml:space="preserve">Рабочие дни и вес дня. План дня = план месяца × вес дня / сумма весов месяца. Вес пятницы 1,1 — если в пятницу отгрузки выше. Праздник = 0.</t>
  </si>
  <si>
    <t xml:space="preserve">План_месяцы</t>
  </si>
  <si>
    <t xml:space="preserve">План на каждый месяц года одной цифрой. Для sum — сумма за месяц, для avg/last — целевое значение. Год считается формулой.</t>
  </si>
  <si>
    <t xml:space="preserve">Факт_месяцы</t>
  </si>
  <si>
    <t xml:space="preserve">Факт закрытых месяцев одной цифрой (после закрытия периода в 1С). Если месяц пуст, скрипт посчитает его из Факт_дни.</t>
  </si>
  <si>
    <t xml:space="preserve">Прошлый_год</t>
  </si>
  <si>
    <t xml:space="preserve">Факт прошлого года по месяцам — для сравнения г/г.</t>
  </si>
  <si>
    <t xml:space="preserve">Факт_дни</t>
  </si>
  <si>
    <t xml:space="preserve">Длинная таблица: Дата | kpi_id | Значение. Одна строка — один показатель за один день. Для sum — значение за день, для last — на конец дня, для avg — значение дня.</t>
  </si>
  <si>
    <t xml:space="preserve">Факт_недели</t>
  </si>
  <si>
    <t xml:space="preserve">Показатели, которые считают раз в неделю (ROIC, доля рынка, текучесть…). Неделя_с — понедельник недели.</t>
  </si>
  <si>
    <t xml:space="preserve">Проверка</t>
  </si>
  <si>
    <t xml:space="preserve">Контроль полноты: есть ли план, сколько дней и недель загружено, последняя дата по каждому показателю.</t>
  </si>
  <si>
    <t xml:space="preserve">Параметр</t>
  </si>
  <si>
    <t xml:space="preserve">Значение</t>
  </si>
  <si>
    <t xml:space="preserve">Комментарий</t>
  </si>
  <si>
    <t xml:space="preserve">Компания</t>
  </si>
  <si>
    <t xml:space="preserve">Демо-Дистрибуция</t>
  </si>
  <si>
    <t xml:space="preserve">Название в шапке сайта и в посте Telegram</t>
  </si>
  <si>
    <t xml:space="preserve">Год</t>
  </si>
  <si>
    <t xml:space="preserve">Год планов и фактов в этом файле</t>
  </si>
  <si>
    <t xml:space="preserve">Дата_отчета</t>
  </si>
  <si>
    <t xml:space="preserve">Пусто = последняя дата в листе Факт_дни. Заполните, чтобы пересчитать на прошлую дату.</t>
  </si>
  <si>
    <t xml:space="preserve">Численность</t>
  </si>
  <si>
    <t xml:space="preserve">Для справки; в расчёте KPI используется headcount из фактов</t>
  </si>
  <si>
    <t xml:space="preserve">Выручка_на_сотрудника_бенчмарк</t>
  </si>
  <si>
    <t xml:space="preserve">млн грн в год — допущение модели (демо), заменить на свой бенчмарк</t>
  </si>
  <si>
    <t xml:space="preserve">Порог_зелёный</t>
  </si>
  <si>
    <t xml:space="preserve">Доля выполнения плана, начиная с которой показатель зелёный</t>
  </si>
  <si>
    <t xml:space="preserve">Порог_жёлтый</t>
  </si>
  <si>
    <t xml:space="preserve">Ниже — красный. Для «чем меньше, тем лучше» выполнение = план / факт</t>
  </si>
  <si>
    <t xml:space="preserve">Валюта</t>
  </si>
  <si>
    <t xml:space="preserve">грн</t>
  </si>
  <si>
    <t xml:space="preserve">kpi_id</t>
  </si>
  <si>
    <t xml:space="preserve">Роли</t>
  </si>
  <si>
    <t xml:space="preserve">Блок</t>
  </si>
  <si>
    <t xml:space="preserve">Показатель</t>
  </si>
  <si>
    <t xml:space="preserve">Ед</t>
  </si>
  <si>
    <t xml:space="preserve">Направление</t>
  </si>
  <si>
    <t xml:space="preserve">Тип</t>
  </si>
  <si>
    <t xml:space="preserve">Формула</t>
  </si>
  <si>
    <t xml:space="preserve">Плитка</t>
  </si>
  <si>
    <t xml:space="preserve">Лучшая_практика</t>
  </si>
  <si>
    <t xml:space="preserve">Определение</t>
  </si>
  <si>
    <t xml:space="preserve">Источник_1С</t>
  </si>
  <si>
    <t xml:space="preserve">Частота</t>
  </si>
  <si>
    <t xml:space="preserve">Владелец</t>
  </si>
  <si>
    <t xml:space="preserve">rev</t>
  </si>
  <si>
    <t xml:space="preserve">cfo,owner,sales</t>
  </si>
  <si>
    <t xml:space="preserve">Продажи</t>
  </si>
  <si>
    <t xml:space="preserve">Выручка (net sales)</t>
  </si>
  <si>
    <t xml:space="preserve">млн грн</t>
  </si>
  <si>
    <t xml:space="preserve">up</t>
  </si>
  <si>
    <t xml:space="preserve">sum</t>
  </si>
  <si>
    <t xml:space="preserve">Отклонение прогноза ≤ ±2%; рост ≥ инфляция + 5 п.п.</t>
  </si>
  <si>
    <t xml:space="preserve">Отгрузки без НДС за вычетом возвратов и скидок</t>
  </si>
  <si>
    <t xml:space="preserve">РН Выручка и себестоимость продаж: Сумма выручки без НДС</t>
  </si>
  <si>
    <t xml:space="preserve">день</t>
  </si>
  <si>
    <t xml:space="preserve">Коммерческий директор</t>
  </si>
  <si>
    <t xml:space="preserve">gp</t>
  </si>
  <si>
    <t xml:space="preserve">cfo,sales</t>
  </si>
  <si>
    <t xml:space="preserve">Прибыльность</t>
  </si>
  <si>
    <t xml:space="preserve">Валовая прибыль</t>
  </si>
  <si>
    <t xml:space="preserve">Front + back margin в одном показателе</t>
  </si>
  <si>
    <t xml:space="preserve">Выручка − себестоимость + бонусы поставщиков</t>
  </si>
  <si>
    <t xml:space="preserve">РН Выручка и себестоимость продаж: Выручка − Себестоимость; + РН Бонусы поставщиков</t>
  </si>
  <si>
    <t xml:space="preserve">CFO</t>
  </si>
  <si>
    <t xml:space="preserve">gm</t>
  </si>
  <si>
    <t xml:space="preserve">Валовая маржа</t>
  </si>
  <si>
    <t xml:space="preserve">%</t>
  </si>
  <si>
    <t xml:space="preserve">formula</t>
  </si>
  <si>
    <t xml:space="preserve">{gp}/{rev}*100</t>
  </si>
  <si>
    <t xml:space="preserve">FMCG-дистрибуция: 17–22%</t>
  </si>
  <si>
    <t xml:space="preserve">Валовая прибыль / выручка</t>
  </si>
  <si>
    <t xml:space="preserve">Расчёт</t>
  </si>
  <si>
    <t xml:space="preserve">opex</t>
  </si>
  <si>
    <t xml:space="preserve">cfo</t>
  </si>
  <si>
    <t xml:space="preserve">Расходы</t>
  </si>
  <si>
    <t xml:space="preserve">Операционные расходы (OPEX)</t>
  </si>
  <si>
    <t xml:space="preserve">down</t>
  </si>
  <si>
    <t xml:space="preserve">OPEX растёт медленнее выручки</t>
  </si>
  <si>
    <t xml:space="preserve">Склад, логистика, персонал, аренда, IT, прочее (начисление по дням)</t>
  </si>
  <si>
    <t xml:space="preserve">РН Прочие расходы / Бюджетирование: факт по статьям ДДР</t>
  </si>
  <si>
    <t xml:space="preserve">opex_pct</t>
  </si>
  <si>
    <t xml:space="preserve">OPEX, % выручки</t>
  </si>
  <si>
    <t xml:space="preserve">{opex}/{rev}*100</t>
  </si>
  <si>
    <t xml:space="preserve">Лучшие: 12–14%</t>
  </si>
  <si>
    <t xml:space="preserve">OPEX / выручка</t>
  </si>
  <si>
    <t xml:space="preserve">ebitda</t>
  </si>
  <si>
    <t xml:space="preserve">cfo,owner</t>
  </si>
  <si>
    <t xml:space="preserve">EBITDA</t>
  </si>
  <si>
    <t xml:space="preserve">{gp}-{opex}</t>
  </si>
  <si>
    <t xml:space="preserve">EBITDA-маржа 4–6%</t>
  </si>
  <si>
    <t xml:space="preserve">Валовая прибыль − OPEX (без амортизации)</t>
  </si>
  <si>
    <t xml:space="preserve">ebm</t>
  </si>
  <si>
    <t xml:space="preserve">EBITDA-маржа</t>
  </si>
  <si>
    <t xml:space="preserve">{ebitda}/{rev}*100</t>
  </si>
  <si>
    <t xml:space="preserve">owner</t>
  </si>
  <si>
    <t xml:space="preserve">Лучшие: &gt; 5,5%</t>
  </si>
  <si>
    <t xml:space="preserve">EBITDA / выручка</t>
  </si>
  <si>
    <t xml:space="preserve">logcost</t>
  </si>
  <si>
    <t xml:space="preserve">Логистика и склад (служебный)</t>
  </si>
  <si>
    <t xml:space="preserve">Затраты на доставку и склад</t>
  </si>
  <si>
    <t xml:space="preserve">РН Прочие расходы: статьи Логистика, Склад</t>
  </si>
  <si>
    <t xml:space="preserve">Директор по логистике</t>
  </si>
  <si>
    <t xml:space="preserve">log_pct</t>
  </si>
  <si>
    <t xml:space="preserve">Логистика, % выручки</t>
  </si>
  <si>
    <t xml:space="preserve">{logcost}/{rev}*100</t>
  </si>
  <si>
    <t xml:space="preserve">Лучшие: 3–4%</t>
  </si>
  <si>
    <t xml:space="preserve">Доставка + склад / выручка</t>
  </si>
  <si>
    <t xml:space="preserve">ocf</t>
  </si>
  <si>
    <t xml:space="preserve">Деньги</t>
  </si>
  <si>
    <t xml:space="preserve">Операционный денежный поток</t>
  </si>
  <si>
    <t xml:space="preserve">OCF ≥ 70% EBITDA</t>
  </si>
  <si>
    <t xml:space="preserve">Поступления − выплаты по операционной деятельности</t>
  </si>
  <si>
    <t xml:space="preserve">РН Движения денежных средств: операционные статьи ДДС</t>
  </si>
  <si>
    <t xml:space="preserve">cash</t>
  </si>
  <si>
    <t xml:space="preserve">Остаток денежных средств</t>
  </si>
  <si>
    <t xml:space="preserve">last</t>
  </si>
  <si>
    <t xml:space="preserve">Не ниже 2 недель выплат</t>
  </si>
  <si>
    <t xml:space="preserve">На конец дня, все счета и кассы</t>
  </si>
  <si>
    <t xml:space="preserve">РН Денежные средства: остаток на конец дня</t>
  </si>
  <si>
    <t xml:space="preserve">Казначей</t>
  </si>
  <si>
    <t xml:space="preserve">dso</t>
  </si>
  <si>
    <t xml:space="preserve">Рабочий капитал</t>
  </si>
  <si>
    <t xml:space="preserve">Оборачиваемость ДЗ (DSO)</t>
  </si>
  <si>
    <t xml:space="preserve">дни</t>
  </si>
  <si>
    <t xml:space="preserve">Лучшие: 20–25 дн.</t>
  </si>
  <si>
    <t xml:space="preserve">ДЗ на конец дня / выручка за 30 дн. × 30</t>
  </si>
  <si>
    <t xml:space="preserve">РН Расчёты с клиентами / Выручка</t>
  </si>
  <si>
    <t xml:space="preserve">odz_pct</t>
  </si>
  <si>
    <t xml:space="preserve">Просроченная ДЗ, % от ДЗ</t>
  </si>
  <si>
    <t xml:space="preserve">Лучшие: &lt; 3%, просрочка &gt; 30 дн. &lt; 1%</t>
  </si>
  <si>
    <t xml:space="preserve">Просрочка платежа / вся ДЗ</t>
  </si>
  <si>
    <t xml:space="preserve">РН Расчёты с клиентами по срокам</t>
  </si>
  <si>
    <t xml:space="preserve">Кредит-контроль</t>
  </si>
  <si>
    <t xml:space="preserve">dio</t>
  </si>
  <si>
    <t xml:space="preserve">cfo,purchase</t>
  </si>
  <si>
    <t xml:space="preserve">Запас в днях (DIO)</t>
  </si>
  <si>
    <t xml:space="preserve">purchase</t>
  </si>
  <si>
    <t xml:space="preserve">Лучшие FMCG: 25–30 дн.</t>
  </si>
  <si>
    <t xml:space="preserve">Запасы / себестоимость за 30 дн. × 30</t>
  </si>
  <si>
    <t xml:space="preserve">РН Товары на складах / Себестоимость</t>
  </si>
  <si>
    <t xml:space="preserve">Директор по закупкам</t>
  </si>
  <si>
    <t xml:space="preserve">dpo</t>
  </si>
  <si>
    <t xml:space="preserve">Отсрочка поставщикам (DPO)</t>
  </si>
  <si>
    <t xml:space="preserve">Лучшие: ≥ 45 дн.</t>
  </si>
  <si>
    <t xml:space="preserve">КЗ поставщикам / себестоимость за 30 дн. × 30</t>
  </si>
  <si>
    <t xml:space="preserve">РН Расчёты с поставщиками</t>
  </si>
  <si>
    <t xml:space="preserve">ccc</t>
  </si>
  <si>
    <t xml:space="preserve">Цикл денежного потока (CCC)</t>
  </si>
  <si>
    <t xml:space="preserve">{dso}+{dio}-{dpo}</t>
  </si>
  <si>
    <t xml:space="preserve">Лучшие: &lt; 10 дн.</t>
  </si>
  <si>
    <t xml:space="preserve">DSO + DIO − DPO</t>
  </si>
  <si>
    <t xml:space="preserve">nd_ebitda</t>
  </si>
  <si>
    <t xml:space="preserve">Риски</t>
  </si>
  <si>
    <t xml:space="preserve">Чистый долг / EBITDA</t>
  </si>
  <si>
    <t xml:space="preserve">x</t>
  </si>
  <si>
    <t xml:space="preserve">Комфортно ≤ 1,5x; ковенанты ≤ 2,5x</t>
  </si>
  <si>
    <t xml:space="preserve">Долг − деньги, к EBITDA за 12 мес</t>
  </si>
  <si>
    <t xml:space="preserve">Финансовый учёт: кредиты, остатки</t>
  </si>
  <si>
    <t xml:space="preserve">неделя</t>
  </si>
  <si>
    <t xml:space="preserve">cof</t>
  </si>
  <si>
    <t xml:space="preserve">Средняя ставка по кредитам</t>
  </si>
  <si>
    <t xml:space="preserve">Ниже рынка на 1–2 п.п.</t>
  </si>
  <si>
    <t xml:space="preserve">Средневзвешенная ставка кредитного портфеля</t>
  </si>
  <si>
    <t xml:space="preserve">Кредитные договоры</t>
  </si>
  <si>
    <t xml:space="preserve">roic</t>
  </si>
  <si>
    <t xml:space="preserve">Отдача на капитал</t>
  </si>
  <si>
    <t xml:space="preserve">ROIC (годовой)</t>
  </si>
  <si>
    <t xml:space="preserve">Лучшие дистрибьюторы: &gt; 20%</t>
  </si>
  <si>
    <t xml:space="preserve">NOPAT за 12 мес / (рабочий капитал + основные средства)</t>
  </si>
  <si>
    <t xml:space="preserve">Управленческий баланс</t>
  </si>
  <si>
    <t xml:space="preserve">share</t>
  </si>
  <si>
    <t xml:space="preserve">Рынок</t>
  </si>
  <si>
    <t xml:space="preserve">Доля рынка в ключевых категориях</t>
  </si>
  <si>
    <t xml:space="preserve">Лидер региона: 15–20%</t>
  </si>
  <si>
    <t xml:space="preserve">Ритейл-аудит (Nielsen/Kantar)</t>
  </si>
  <si>
    <t xml:space="preserve">Внешние данные, вносится вручную</t>
  </si>
  <si>
    <t xml:space="preserve">Маркетинг</t>
  </si>
  <si>
    <t xml:space="preserve">akb</t>
  </si>
  <si>
    <t xml:space="preserve">owner,sales</t>
  </si>
  <si>
    <t xml:space="preserve">Клиенты</t>
  </si>
  <si>
    <t xml:space="preserve">АКБ (активные ТТ, 30 дней)</t>
  </si>
  <si>
    <t xml:space="preserve">ТТ</t>
  </si>
  <si>
    <t xml:space="preserve">Рост АКБ 5–8% в год</t>
  </si>
  <si>
    <t xml:space="preserve">ТТ с ≥ 1 отгрузкой за скользящие 30 дней</t>
  </si>
  <si>
    <t xml:space="preserve">РН Продажи: количество различных контрагентов-ТТ за 30 дн.</t>
  </si>
  <si>
    <t xml:space="preserve">headcount</t>
  </si>
  <si>
    <t xml:space="preserve">Люди</t>
  </si>
  <si>
    <t xml:space="preserve">Численность персонала</t>
  </si>
  <si>
    <t xml:space="preserve">чел</t>
  </si>
  <si>
    <t xml:space="preserve">Факт ≤ штатного</t>
  </si>
  <si>
    <t xml:space="preserve">Списочная численность на дату</t>
  </si>
  <si>
    <t xml:space="preserve">ЗУП/BAS ЗУП: кадровые данные</t>
  </si>
  <si>
    <t xml:space="preserve">HR-директор</t>
  </si>
  <si>
    <t xml:space="preserve">turnover</t>
  </si>
  <si>
    <t xml:space="preserve">Текучесть персонала (12 мес)</t>
  </si>
  <si>
    <t xml:space="preserve">ТП: &lt; 25%, склад: &lt; 35%</t>
  </si>
  <si>
    <t xml:space="preserve">Уволенные за 12 мес / среднесписочная</t>
  </si>
  <si>
    <t xml:space="preserve">ЗУП/BAS ЗУП</t>
  </si>
  <si>
    <t xml:space="preserve">rpe</t>
  </si>
  <si>
    <t xml:space="preserve">Выручка на сотрудника (годовая)</t>
  </si>
  <si>
    <t xml:space="preserve">{rev}*ANN/{headcount}</t>
  </si>
  <si>
    <t xml:space="preserve">Бенчмарк модели: 7,2 млн грн</t>
  </si>
  <si>
    <t xml:space="preserve">Выручка в годовом пересчёте / численность</t>
  </si>
  <si>
    <t xml:space="preserve">volume_t</t>
  </si>
  <si>
    <t xml:space="preserve">sales</t>
  </si>
  <si>
    <t xml:space="preserve">Объём отгрузок</t>
  </si>
  <si>
    <t xml:space="preserve">т</t>
  </si>
  <si>
    <t xml:space="preserve">Рост объёма ≥ рынок</t>
  </si>
  <si>
    <t xml:space="preserve">Тонн отгружено (вес брутто)</t>
  </si>
  <si>
    <t xml:space="preserve">РН Продажи: Количество × вес номенклатуры</t>
  </si>
  <si>
    <t xml:space="preserve">new_tt</t>
  </si>
  <si>
    <t xml:space="preserve">Новые ТТ</t>
  </si>
  <si>
    <t xml:space="preserve">Нетто-прирост АКБ &gt; 0 каждый месяц</t>
  </si>
  <si>
    <t xml:space="preserve">ТТ с первой отгрузкой в периоде</t>
  </si>
  <si>
    <t xml:space="preserve">РН Продажи: первые отгрузки контрагента</t>
  </si>
  <si>
    <t xml:space="preserve">numd</t>
  </si>
  <si>
    <t xml:space="preserve">Числовая дистрибуция must-list</t>
  </si>
  <si>
    <t xml:space="preserve">avg</t>
  </si>
  <si>
    <t xml:space="preserve">Лучшие: &gt; 90% по must-stock</t>
  </si>
  <si>
    <t xml:space="preserve">Доля посещённых ТТ с полным must-list</t>
  </si>
  <si>
    <t xml:space="preserve">SFA (мобильная торговля): аудит полки</t>
  </si>
  <si>
    <t xml:space="preserve">orders</t>
  </si>
  <si>
    <t xml:space="preserve">Эффективность</t>
  </si>
  <si>
    <t xml:space="preserve">Количество заказов</t>
  </si>
  <si>
    <t xml:space="preserve">шт</t>
  </si>
  <si>
    <t xml:space="preserve">Рост через частоту и drop size</t>
  </si>
  <si>
    <t xml:space="preserve">Заказы клиентов, отгруженные в день</t>
  </si>
  <si>
    <t xml:space="preserve">Документы Заказ клиента / Реализация</t>
  </si>
  <si>
    <t xml:space="preserve">drop</t>
  </si>
  <si>
    <t xml:space="preserve">Средний заказ (drop size)</t>
  </si>
  <si>
    <t xml:space="preserve">тыс. грн</t>
  </si>
  <si>
    <t xml:space="preserve">{rev}*1000/{orders}</t>
  </si>
  <si>
    <t xml:space="preserve">Рост drop size снижает cost-to-serve</t>
  </si>
  <si>
    <t xml:space="preserve">Выручка / количество заказов</t>
  </si>
  <si>
    <t xml:space="preserve">lpo</t>
  </si>
  <si>
    <t xml:space="preserve">Строк (SKU) в заказе</t>
  </si>
  <si>
    <t xml:space="preserve">Лучшие: 15–20</t>
  </si>
  <si>
    <t xml:space="preserve">Средняя ширина заказа</t>
  </si>
  <si>
    <t xml:space="preserve">Документы Реализация: строк / документ</t>
  </si>
  <si>
    <t xml:space="preserve">strike</t>
  </si>
  <si>
    <t xml:space="preserve">Результативность визитов (strike rate)</t>
  </si>
  <si>
    <t xml:space="preserve">Лучшие: &gt; 80%</t>
  </si>
  <si>
    <t xml:space="preserve">Визиты с заказом / все визиты</t>
  </si>
  <si>
    <t xml:space="preserve">SFA: визиты</t>
  </si>
  <si>
    <t xml:space="preserve">route</t>
  </si>
  <si>
    <t xml:space="preserve">Выполнение маршрутов ТП</t>
  </si>
  <si>
    <t xml:space="preserve">Лучшие: &gt; 95% (GPS)</t>
  </si>
  <si>
    <t xml:space="preserve">Фактические визиты / плановые</t>
  </si>
  <si>
    <t xml:space="preserve">SFA: маршруты</t>
  </si>
  <si>
    <t xml:space="preserve">otif</t>
  </si>
  <si>
    <t xml:space="preserve">Сервис</t>
  </si>
  <si>
    <t xml:space="preserve">OTIF клиентам</t>
  </si>
  <si>
    <t xml:space="preserve">Лучшие: &gt; 97%</t>
  </si>
  <si>
    <t xml:space="preserve">Заказы вовремя и в полном объёме / все заказы</t>
  </si>
  <si>
    <t xml:space="preserve">Заказ клиента vs Реализация, дата доставки</t>
  </si>
  <si>
    <t xml:space="preserve">returns</t>
  </si>
  <si>
    <t xml:space="preserve">Возвраты (служебный)</t>
  </si>
  <si>
    <t xml:space="preserve">Возвраты от клиентов без НДС</t>
  </si>
  <si>
    <t xml:space="preserve">Документы Возврат товаров от клиента</t>
  </si>
  <si>
    <t xml:space="preserve">ret_pct</t>
  </si>
  <si>
    <t xml:space="preserve">Возвраты, % выручки</t>
  </si>
  <si>
    <t xml:space="preserve">{returns}/{rev}*100</t>
  </si>
  <si>
    <t xml:space="preserve">Лучшие: &lt; 1%</t>
  </si>
  <si>
    <t xml:space="preserve">Возвраты / выручка</t>
  </si>
  <si>
    <t xml:space="preserve">discounts</t>
  </si>
  <si>
    <t xml:space="preserve">Скидки и промо (служебный)</t>
  </si>
  <si>
    <t xml:space="preserve">Ценовые скидки + промо-бюджеты</t>
  </si>
  <si>
    <t xml:space="preserve">РН Продажи: сумма скидок; промо-акты</t>
  </si>
  <si>
    <t xml:space="preserve">disc_pct</t>
  </si>
  <si>
    <t xml:space="preserve">Скидки и промо, % выручки</t>
  </si>
  <si>
    <t xml:space="preserve">{discounts}/{rev}*100</t>
  </si>
  <si>
    <t xml:space="preserve">Промо с ROI &gt; 1</t>
  </si>
  <si>
    <t xml:space="preserve">Скидки и промо / выручка</t>
  </si>
  <si>
    <t xml:space="preserve">coll_pct</t>
  </si>
  <si>
    <t xml:space="preserve">Инкассация ДЗ (собрано / к оплате)</t>
  </si>
  <si>
    <t xml:space="preserve">Лучшие: &gt; 98%</t>
  </si>
  <si>
    <t xml:space="preserve">Поступления от клиентов / платежи со сроком в этот день</t>
  </si>
  <si>
    <t xml:space="preserve">РН Расчёты с клиентами: график оплат</t>
  </si>
  <si>
    <t xml:space="preserve">purch</t>
  </si>
  <si>
    <t xml:space="preserve">Закупки</t>
  </si>
  <si>
    <t xml:space="preserve">Объём закупок</t>
  </si>
  <si>
    <t xml:space="preserve">≈ себестоимость продаж ± план изменения запасов</t>
  </si>
  <si>
    <t xml:space="preserve">Поступления товара по ценам закупки без НДС</t>
  </si>
  <si>
    <t xml:space="preserve">Документы Поступление товаров</t>
  </si>
  <si>
    <t xml:space="preserve">inv</t>
  </si>
  <si>
    <t xml:space="preserve">Запасы</t>
  </si>
  <si>
    <t xml:space="preserve">Товарный запас</t>
  </si>
  <si>
    <t xml:space="preserve">Покрытие ≤ 30–32 дн. продаж</t>
  </si>
  <si>
    <t xml:space="preserve">Запас на складах на конец дня по себестоимости</t>
  </si>
  <si>
    <t xml:space="preserve">РН Товары на складах × себестоимость</t>
  </si>
  <si>
    <t xml:space="preserve">inv_turn</t>
  </si>
  <si>
    <t xml:space="preserve">Оборачиваемость запасов</t>
  </si>
  <si>
    <t xml:space="preserve">раз/год</t>
  </si>
  <si>
    <t xml:space="preserve">365/{dio}</t>
  </si>
  <si>
    <t xml:space="preserve">Лучшие: 12–14 раз</t>
  </si>
  <si>
    <t xml:space="preserve">365 / DIO</t>
  </si>
  <si>
    <t xml:space="preserve">slow_pct</t>
  </si>
  <si>
    <t xml:space="preserve">Неликвид и медленные (&gt; 90 дн.)</t>
  </si>
  <si>
    <t xml:space="preserve">Лучшие: &lt; 3%</t>
  </si>
  <si>
    <t xml:space="preserve">Доля запаса без движения &gt; 90 дней</t>
  </si>
  <si>
    <t xml:space="preserve">Отчёт Анализ оборачиваемости запасов</t>
  </si>
  <si>
    <t xml:space="preserve">writeoff</t>
  </si>
  <si>
    <t xml:space="preserve">Списания (служебный)</t>
  </si>
  <si>
    <t xml:space="preserve">Списания: просрочка, бой, недостачи</t>
  </si>
  <si>
    <t xml:space="preserve">Документы Списание недостач / Порча</t>
  </si>
  <si>
    <t xml:space="preserve">writeoff_pct</t>
  </si>
  <si>
    <t xml:space="preserve">Списания, % выручки</t>
  </si>
  <si>
    <t xml:space="preserve">{writeoff}/{rev}*100</t>
  </si>
  <si>
    <t xml:space="preserve">Лучшие: &lt; 0,25%</t>
  </si>
  <si>
    <t xml:space="preserve">Списания / выручка</t>
  </si>
  <si>
    <t xml:space="preserve">oos</t>
  </si>
  <si>
    <t xml:space="preserve">Наличие</t>
  </si>
  <si>
    <t xml:space="preserve">Out-of-stock на складе</t>
  </si>
  <si>
    <t xml:space="preserve">Лучшие: &lt; 2% по must-list</t>
  </si>
  <si>
    <t xml:space="preserve">SKU с нулевым остатком / активный ассортимент</t>
  </si>
  <si>
    <t xml:space="preserve">РН Товары на складах: нулевые остатки</t>
  </si>
  <si>
    <t xml:space="preserve">fill</t>
  </si>
  <si>
    <t xml:space="preserve">Fill rate склада (по строкам)</t>
  </si>
  <si>
    <t xml:space="preserve">Лучшие: &gt; 98,5%</t>
  </si>
  <si>
    <t xml:space="preserve">Отгруженные строки / заказанные строки</t>
  </si>
  <si>
    <t xml:space="preserve">Заказ клиента vs Реализация</t>
  </si>
  <si>
    <t xml:space="preserve">sup_otif</t>
  </si>
  <si>
    <t xml:space="preserve">Поставщики</t>
  </si>
  <si>
    <t xml:space="preserve">OTIF поставщиков</t>
  </si>
  <si>
    <t xml:space="preserve">Лучшие: &gt; 95%, SLA в договоре</t>
  </si>
  <si>
    <t xml:space="preserve">Поставки вовремя и полностью / все поставки</t>
  </si>
  <si>
    <t xml:space="preserve">Заказ поставщику vs Поступление</t>
  </si>
  <si>
    <t xml:space="preserve">fa</t>
  </si>
  <si>
    <t xml:space="preserve">Точность прогноза спроса</t>
  </si>
  <si>
    <t xml:space="preserve">Лучшие (AI-прогноз): 85%+</t>
  </si>
  <si>
    <t xml:space="preserve">1 − WMAPE по SKU-неделе</t>
  </si>
  <si>
    <t xml:space="preserve">Планирование закупок</t>
  </si>
  <si>
    <t xml:space="preserve">back_pct</t>
  </si>
  <si>
    <t xml:space="preserve">Экономика</t>
  </si>
  <si>
    <t xml:space="preserve">Бонусы поставщиков (back margin)</t>
  </si>
  <si>
    <t xml:space="preserve">Выполнение условий 100% контрактов</t>
  </si>
  <si>
    <t xml:space="preserve">Ретро-бонусы и маркетинг / закупки, нарастающим за месяц</t>
  </si>
  <si>
    <t xml:space="preserve">РН Бонусы поставщиков</t>
  </si>
  <si>
    <t xml:space="preserve">savings</t>
  </si>
  <si>
    <t xml:space="preserve">Экономия на закупках</t>
  </si>
  <si>
    <t xml:space="preserve">1–2% от объёма закупок</t>
  </si>
  <si>
    <t xml:space="preserve">Снижение цены vs базовый прайс × объём</t>
  </si>
  <si>
    <t xml:space="preserve">Сравнение цен поступления с базовым прайсом</t>
  </si>
  <si>
    <t xml:space="preserve">Дата</t>
  </si>
  <si>
    <t xml:space="preserve">День_недели</t>
  </si>
  <si>
    <t xml:space="preserve">Рабочий</t>
  </si>
  <si>
    <t xml:space="preserve">Вес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</si>
  <si>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</si>
  <si>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</si>
  <si>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</si>
  <si>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</si>
  <si>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</si>
  <si>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</si>
  <si>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</si>
  <si>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</si>
  <si>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</si>
  <si>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</si>
  <si>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</si>
  <si>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</si>
  <si>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Неделя_с</t>
  </si>
  <si>
    <t xml:space="preserve">План год</t>
  </si>
  <si>
    <t xml:space="preserve">Дней в Факт_дни</t>
  </si>
  <si>
    <t xml:space="preserve">Недель в Факт_недели</t>
  </si>
  <si>
    <t xml:space="preserve">Последняя дата</t>
  </si>
  <si>
    <t xml:space="preserve">Статус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</si>
</sst>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0%"/>
    <numFmt numFmtId="167" formatCode="0.00"/>
    <numFmt numFmtId="168" formatCode="#,##0.00"/>
    <numFmt numFmtId="169" formatCode="#,##0"/>
    <numFmt numFmtId="170" formatCode="#,##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9A825"/>
        <bgColor rgb="FFFFCC00"/>
      </patternFill>
    </fill>
    <fill>
      <patternFill patternType="solid">
        <fgColor rgb="FF455A64"/>
        <bgColor rgb="FF2E7D32"/>
      </patternFill>
    </fill>
    <fill>
      <patternFill patternType="solid">
        <fgColor rgb="FFFFF59D"/>
        <bgColor rgb="FFECEFF1"/>
      </patternFill>
    </fill>
    <fill>
      <patternFill patternType="solid">
        <fgColor rgb="FFECEF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55A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EFF1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455A64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35.05" hidden="false" customHeight="false" outlineLevel="0" collapsed="false">
      <c r="A2" s="3" t="s">
        <v>1</v>
      </c>
      <c r="B2" s="2" t="s">
        <v>2</v>
      </c>
    </row>
    <row r="3" customFormat="false" ht="35.0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4"/>
      <c r="B4" s="2"/>
    </row>
    <row r="5" customFormat="false" ht="15" hidden="false" customHeight="false" outlineLevel="0" collapsed="false">
      <c r="A5" s="3" t="s">
        <v>5</v>
      </c>
      <c r="B5" s="5" t="s">
        <v>6</v>
      </c>
    </row>
    <row r="6" customFormat="false" ht="23.85" hidden="false" customHeight="false" outlineLevel="0" collapsed="false">
      <c r="A6" s="6" t="s">
        <v>7</v>
      </c>
      <c r="B6" s="2" t="s">
        <v>8</v>
      </c>
    </row>
    <row r="7" customFormat="false" ht="23.85" hidden="false" customHeight="false" outlineLevel="0" collapsed="false">
      <c r="A7" s="7" t="s">
        <v>9</v>
      </c>
      <c r="B7" s="2" t="s">
        <v>10</v>
      </c>
    </row>
    <row r="8" customFormat="false" ht="15" hidden="false" customHeight="false" outlineLevel="0" collapsed="false">
      <c r="A8" s="8" t="s">
        <v>11</v>
      </c>
      <c r="B8" s="2" t="s">
        <v>12</v>
      </c>
    </row>
    <row r="9" customFormat="false" ht="15" hidden="false" customHeight="false" outlineLevel="0" collapsed="false">
      <c r="A9" s="9" t="s">
        <v>13</v>
      </c>
      <c r="B9" s="2" t="s">
        <v>14</v>
      </c>
    </row>
    <row r="10" customFormat="false" ht="15" hidden="false" customHeight="false" outlineLevel="0" collapsed="false">
      <c r="A10" s="10" t="s">
        <v>15</v>
      </c>
      <c r="B10" s="2" t="s">
        <v>16</v>
      </c>
    </row>
    <row r="11" customFormat="false" ht="15" hidden="false" customHeight="false" outlineLevel="0" collapsed="false">
      <c r="A11" s="4"/>
      <c r="B11" s="2"/>
    </row>
    <row r="12" customFormat="false" ht="15" hidden="false" customHeight="false" outlineLevel="0" collapsed="false">
      <c r="A12" s="3" t="s">
        <v>17</v>
      </c>
      <c r="B12" s="2"/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35.05" hidden="false" customHeight="false" outlineLevel="0" collapsed="false">
      <c r="A14" s="3" t="s">
        <v>20</v>
      </c>
      <c r="B14" s="2" t="s">
        <v>21</v>
      </c>
    </row>
    <row r="15" customFormat="false" ht="23.8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3" t="s">
        <v>24</v>
      </c>
      <c r="B16" s="2" t="s">
        <v>25</v>
      </c>
    </row>
    <row r="17" customFormat="false" ht="15" hidden="false" customHeight="false" outlineLevel="0" collapsed="false">
      <c r="A17" s="3" t="s">
        <v>26</v>
      </c>
      <c r="B17" s="2" t="s">
        <v>27</v>
      </c>
    </row>
    <row r="18" customFormat="false" ht="15" hidden="false" customHeight="false" outlineLevel="0" collapsed="false">
      <c r="A18" s="3" t="s">
        <v>28</v>
      </c>
      <c r="B18" s="2" t="s">
        <v>29</v>
      </c>
    </row>
    <row r="19" customFormat="false" ht="23.85" hidden="false" customHeight="false" outlineLevel="0" collapsed="false">
      <c r="A19" s="3" t="s">
        <v>30</v>
      </c>
      <c r="B19" s="2" t="s">
        <v>31</v>
      </c>
    </row>
    <row r="20" customFormat="false" ht="15" hidden="false" customHeight="false" outlineLevel="0" collapsed="false">
      <c r="A20" s="3" t="s">
        <v>32</v>
      </c>
      <c r="B20" s="2" t="s">
        <v>33</v>
      </c>
    </row>
    <row r="21" customFormat="false" ht="15" hidden="false" customHeight="false" outlineLevel="0" collapsed="false">
      <c r="A21" s="3" t="s">
        <v>34</v>
      </c>
      <c r="B2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80"/>
  </cols>
  <sheetData>
    <row r="1" customFormat="false" ht="30" hidden="false" customHeight="true" outlineLevel="0" collapsed="false">
      <c r="A1" s="11" t="s">
        <v>36</v>
      </c>
      <c r="B1" s="11" t="s">
        <v>37</v>
      </c>
      <c r="C1" s="11" t="s">
        <v>38</v>
      </c>
    </row>
    <row r="2" customFormat="false" ht="15" hidden="false" customHeight="false" outlineLevel="0" collapsed="false">
      <c r="A2" s="12" t="s">
        <v>39</v>
      </c>
      <c r="B2" s="13" t="s">
        <v>40</v>
      </c>
      <c r="C2" s="12" t="s">
        <v>41</v>
      </c>
    </row>
    <row r="3" customFormat="false" ht="15" hidden="false" customHeight="false" outlineLevel="0" collapsed="false">
      <c r="A3" s="12" t="s">
        <v>42</v>
      </c>
      <c r="B3" s="13" t="n">
        <v>2026</v>
      </c>
      <c r="C3" s="12" t="s">
        <v>43</v>
      </c>
    </row>
    <row r="4" customFormat="false" ht="15" hidden="false" customHeight="false" outlineLevel="0" collapsed="false">
      <c r="A4" s="12" t="s">
        <v>44</v>
      </c>
      <c r="B4" s="14"/>
      <c r="C4" s="12" t="s">
        <v>45</v>
      </c>
    </row>
    <row r="5" customFormat="false" ht="15" hidden="false" customHeight="false" outlineLevel="0" collapsed="false">
      <c r="A5" s="12" t="s">
        <v>46</v>
      </c>
      <c r="B5" s="13" t="n">
        <v>1000</v>
      </c>
      <c r="C5" s="12" t="s">
        <v>47</v>
      </c>
    </row>
    <row r="6" customFormat="false" ht="15" hidden="false" customHeight="false" outlineLevel="0" collapsed="false">
      <c r="A6" s="12" t="s">
        <v>48</v>
      </c>
      <c r="B6" s="15" t="n">
        <v>7.2</v>
      </c>
      <c r="C6" s="12" t="s">
        <v>49</v>
      </c>
    </row>
    <row r="7" customFormat="false" ht="15" hidden="false" customHeight="false" outlineLevel="0" collapsed="false">
      <c r="A7" s="12" t="s">
        <v>50</v>
      </c>
      <c r="B7" s="16" t="n">
        <v>1</v>
      </c>
      <c r="C7" s="12" t="s">
        <v>51</v>
      </c>
    </row>
    <row r="8" customFormat="false" ht="15" hidden="false" customHeight="false" outlineLevel="0" collapsed="false">
      <c r="A8" s="12" t="s">
        <v>52</v>
      </c>
      <c r="B8" s="16" t="n">
        <v>0.95</v>
      </c>
      <c r="C8" s="12" t="s">
        <v>53</v>
      </c>
    </row>
    <row r="9" customFormat="false" ht="15" hidden="false" customHeight="false" outlineLevel="0" collapsed="false">
      <c r="A9" s="12" t="s">
        <v>54</v>
      </c>
      <c r="B9" s="13" t="s">
        <v>55</v>
      </c>
      <c r="C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38"/>
    <col collapsed="false" customWidth="true" hidden="false" outlineLevel="0" max="11" min="11" style="0" width="44"/>
    <col collapsed="false" customWidth="true" hidden="false" outlineLevel="0" max="12" min="12" style="0" width="50"/>
    <col collapsed="false" customWidth="true" hidden="false" outlineLevel="0" max="13" min="13" style="0" width="9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7" t="s">
        <v>56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  <c r="M1" s="17" t="s">
        <v>68</v>
      </c>
      <c r="N1" s="17" t="s">
        <v>69</v>
      </c>
    </row>
    <row r="2" customFormat="false" ht="15" hidden="false" customHeight="false" outlineLevel="0" collapsed="false">
      <c r="A2" s="13" t="s">
        <v>70</v>
      </c>
      <c r="B2" s="13" t="s">
        <v>71</v>
      </c>
      <c r="C2" s="13" t="s">
        <v>72</v>
      </c>
      <c r="D2" s="13" t="s">
        <v>73</v>
      </c>
      <c r="E2" s="13" t="s">
        <v>74</v>
      </c>
      <c r="F2" s="13" t="s">
        <v>75</v>
      </c>
      <c r="G2" s="13" t="s">
        <v>76</v>
      </c>
      <c r="H2" s="13"/>
      <c r="I2" s="13" t="s">
        <v>71</v>
      </c>
      <c r="J2" s="13" t="s">
        <v>77</v>
      </c>
      <c r="K2" s="13" t="s">
        <v>78</v>
      </c>
      <c r="L2" s="13" t="s">
        <v>79</v>
      </c>
      <c r="M2" s="13" t="s">
        <v>80</v>
      </c>
      <c r="N2" s="13" t="s">
        <v>81</v>
      </c>
    </row>
    <row r="3" customFormat="false" ht="15" hidden="false" customHeight="false" outlineLevel="0" collapsed="false">
      <c r="A3" s="13" t="s">
        <v>82</v>
      </c>
      <c r="B3" s="13" t="s">
        <v>83</v>
      </c>
      <c r="C3" s="13" t="s">
        <v>84</v>
      </c>
      <c r="D3" s="13" t="s">
        <v>85</v>
      </c>
      <c r="E3" s="13" t="s">
        <v>74</v>
      </c>
      <c r="F3" s="13" t="s">
        <v>75</v>
      </c>
      <c r="G3" s="13" t="s">
        <v>76</v>
      </c>
      <c r="H3" s="13"/>
      <c r="I3" s="13"/>
      <c r="J3" s="13" t="s">
        <v>86</v>
      </c>
      <c r="K3" s="13" t="s">
        <v>87</v>
      </c>
      <c r="L3" s="13" t="s">
        <v>88</v>
      </c>
      <c r="M3" s="13" t="s">
        <v>80</v>
      </c>
      <c r="N3" s="13" t="s">
        <v>89</v>
      </c>
    </row>
    <row r="4" customFormat="false" ht="15" hidden="false" customHeight="false" outlineLevel="0" collapsed="false">
      <c r="A4" s="13" t="s">
        <v>90</v>
      </c>
      <c r="B4" s="13" t="s">
        <v>71</v>
      </c>
      <c r="C4" s="13" t="s">
        <v>84</v>
      </c>
      <c r="D4" s="13" t="s">
        <v>91</v>
      </c>
      <c r="E4" s="13" t="s">
        <v>92</v>
      </c>
      <c r="F4" s="13" t="s">
        <v>75</v>
      </c>
      <c r="G4" s="13" t="s">
        <v>93</v>
      </c>
      <c r="H4" s="13" t="s">
        <v>94</v>
      </c>
      <c r="I4" s="13" t="s">
        <v>83</v>
      </c>
      <c r="J4" s="13" t="s">
        <v>95</v>
      </c>
      <c r="K4" s="13" t="s">
        <v>96</v>
      </c>
      <c r="L4" s="13" t="s">
        <v>97</v>
      </c>
      <c r="M4" s="13" t="s">
        <v>80</v>
      </c>
      <c r="N4" s="13" t="s">
        <v>89</v>
      </c>
    </row>
    <row r="5" customFormat="false" ht="15" hidden="false" customHeight="false" outlineLevel="0" collapsed="false">
      <c r="A5" s="13" t="s">
        <v>98</v>
      </c>
      <c r="B5" s="13" t="s">
        <v>99</v>
      </c>
      <c r="C5" s="13" t="s">
        <v>100</v>
      </c>
      <c r="D5" s="13" t="s">
        <v>101</v>
      </c>
      <c r="E5" s="13" t="s">
        <v>74</v>
      </c>
      <c r="F5" s="13" t="s">
        <v>102</v>
      </c>
      <c r="G5" s="13" t="s">
        <v>76</v>
      </c>
      <c r="H5" s="13"/>
      <c r="I5" s="13"/>
      <c r="J5" s="13" t="s">
        <v>103</v>
      </c>
      <c r="K5" s="13" t="s">
        <v>104</v>
      </c>
      <c r="L5" s="13" t="s">
        <v>105</v>
      </c>
      <c r="M5" s="13" t="s">
        <v>80</v>
      </c>
      <c r="N5" s="13" t="s">
        <v>89</v>
      </c>
    </row>
    <row r="6" customFormat="false" ht="15" hidden="false" customHeight="false" outlineLevel="0" collapsed="false">
      <c r="A6" s="13" t="s">
        <v>106</v>
      </c>
      <c r="B6" s="13" t="s">
        <v>99</v>
      </c>
      <c r="C6" s="13" t="s">
        <v>100</v>
      </c>
      <c r="D6" s="13" t="s">
        <v>107</v>
      </c>
      <c r="E6" s="13" t="s">
        <v>92</v>
      </c>
      <c r="F6" s="13" t="s">
        <v>102</v>
      </c>
      <c r="G6" s="13" t="s">
        <v>93</v>
      </c>
      <c r="H6" s="13" t="s">
        <v>108</v>
      </c>
      <c r="I6" s="13"/>
      <c r="J6" s="13" t="s">
        <v>109</v>
      </c>
      <c r="K6" s="13" t="s">
        <v>110</v>
      </c>
      <c r="L6" s="13" t="s">
        <v>97</v>
      </c>
      <c r="M6" s="13" t="s">
        <v>80</v>
      </c>
      <c r="N6" s="13" t="s">
        <v>89</v>
      </c>
    </row>
    <row r="7" customFormat="false" ht="15" hidden="false" customHeight="false" outlineLevel="0" collapsed="false">
      <c r="A7" s="13" t="s">
        <v>111</v>
      </c>
      <c r="B7" s="13" t="s">
        <v>112</v>
      </c>
      <c r="C7" s="13" t="s">
        <v>84</v>
      </c>
      <c r="D7" s="13" t="s">
        <v>113</v>
      </c>
      <c r="E7" s="13" t="s">
        <v>74</v>
      </c>
      <c r="F7" s="13" t="s">
        <v>75</v>
      </c>
      <c r="G7" s="13" t="s">
        <v>93</v>
      </c>
      <c r="H7" s="13" t="s">
        <v>114</v>
      </c>
      <c r="I7" s="13" t="s">
        <v>112</v>
      </c>
      <c r="J7" s="13" t="s">
        <v>115</v>
      </c>
      <c r="K7" s="13" t="s">
        <v>116</v>
      </c>
      <c r="L7" s="13" t="s">
        <v>97</v>
      </c>
      <c r="M7" s="13" t="s">
        <v>80</v>
      </c>
      <c r="N7" s="13" t="s">
        <v>89</v>
      </c>
    </row>
    <row r="8" customFormat="false" ht="15" hidden="false" customHeight="false" outlineLevel="0" collapsed="false">
      <c r="A8" s="13" t="s">
        <v>117</v>
      </c>
      <c r="B8" s="13" t="s">
        <v>112</v>
      </c>
      <c r="C8" s="13" t="s">
        <v>84</v>
      </c>
      <c r="D8" s="13" t="s">
        <v>118</v>
      </c>
      <c r="E8" s="13" t="s">
        <v>92</v>
      </c>
      <c r="F8" s="13" t="s">
        <v>75</v>
      </c>
      <c r="G8" s="13" t="s">
        <v>93</v>
      </c>
      <c r="H8" s="13" t="s">
        <v>119</v>
      </c>
      <c r="I8" s="13" t="s">
        <v>120</v>
      </c>
      <c r="J8" s="13" t="s">
        <v>121</v>
      </c>
      <c r="K8" s="13" t="s">
        <v>122</v>
      </c>
      <c r="L8" s="13" t="s">
        <v>97</v>
      </c>
      <c r="M8" s="13" t="s">
        <v>80</v>
      </c>
      <c r="N8" s="13" t="s">
        <v>89</v>
      </c>
    </row>
    <row r="9" customFormat="false" ht="15" hidden="false" customHeight="false" outlineLevel="0" collapsed="false">
      <c r="A9" s="13" t="s">
        <v>123</v>
      </c>
      <c r="B9" s="13"/>
      <c r="C9" s="13" t="s">
        <v>100</v>
      </c>
      <c r="D9" s="13" t="s">
        <v>124</v>
      </c>
      <c r="E9" s="13" t="s">
        <v>74</v>
      </c>
      <c r="F9" s="13" t="s">
        <v>102</v>
      </c>
      <c r="G9" s="13" t="s">
        <v>76</v>
      </c>
      <c r="H9" s="13"/>
      <c r="I9" s="13"/>
      <c r="J9" s="13"/>
      <c r="K9" s="13" t="s">
        <v>125</v>
      </c>
      <c r="L9" s="13" t="s">
        <v>126</v>
      </c>
      <c r="M9" s="13" t="s">
        <v>80</v>
      </c>
      <c r="N9" s="13" t="s">
        <v>127</v>
      </c>
    </row>
    <row r="10" customFormat="false" ht="15" hidden="false" customHeight="false" outlineLevel="0" collapsed="false">
      <c r="A10" s="13" t="s">
        <v>128</v>
      </c>
      <c r="B10" s="13" t="s">
        <v>99</v>
      </c>
      <c r="C10" s="13" t="s">
        <v>100</v>
      </c>
      <c r="D10" s="13" t="s">
        <v>129</v>
      </c>
      <c r="E10" s="13" t="s">
        <v>92</v>
      </c>
      <c r="F10" s="13" t="s">
        <v>102</v>
      </c>
      <c r="G10" s="13" t="s">
        <v>93</v>
      </c>
      <c r="H10" s="13" t="s">
        <v>130</v>
      </c>
      <c r="I10" s="13"/>
      <c r="J10" s="13" t="s">
        <v>131</v>
      </c>
      <c r="K10" s="13" t="s">
        <v>132</v>
      </c>
      <c r="L10" s="13" t="s">
        <v>97</v>
      </c>
      <c r="M10" s="13" t="s">
        <v>80</v>
      </c>
      <c r="N10" s="13" t="s">
        <v>127</v>
      </c>
    </row>
    <row r="11" customFormat="false" ht="15" hidden="false" customHeight="false" outlineLevel="0" collapsed="false">
      <c r="A11" s="13" t="s">
        <v>133</v>
      </c>
      <c r="B11" s="13" t="s">
        <v>112</v>
      </c>
      <c r="C11" s="13" t="s">
        <v>134</v>
      </c>
      <c r="D11" s="13" t="s">
        <v>135</v>
      </c>
      <c r="E11" s="13" t="s">
        <v>74</v>
      </c>
      <c r="F11" s="13" t="s">
        <v>75</v>
      </c>
      <c r="G11" s="13" t="s">
        <v>76</v>
      </c>
      <c r="H11" s="13"/>
      <c r="I11" s="13" t="s">
        <v>99</v>
      </c>
      <c r="J11" s="13" t="s">
        <v>136</v>
      </c>
      <c r="K11" s="13" t="s">
        <v>137</v>
      </c>
      <c r="L11" s="13" t="s">
        <v>138</v>
      </c>
      <c r="M11" s="13" t="s">
        <v>80</v>
      </c>
      <c r="N11" s="13" t="s">
        <v>89</v>
      </c>
    </row>
    <row r="12" customFormat="false" ht="15" hidden="false" customHeight="false" outlineLevel="0" collapsed="false">
      <c r="A12" s="13" t="s">
        <v>139</v>
      </c>
      <c r="B12" s="13" t="s">
        <v>99</v>
      </c>
      <c r="C12" s="13" t="s">
        <v>134</v>
      </c>
      <c r="D12" s="13" t="s">
        <v>140</v>
      </c>
      <c r="E12" s="13" t="s">
        <v>74</v>
      </c>
      <c r="F12" s="13" t="s">
        <v>75</v>
      </c>
      <c r="G12" s="13" t="s">
        <v>141</v>
      </c>
      <c r="H12" s="13"/>
      <c r="I12" s="13"/>
      <c r="J12" s="13" t="s">
        <v>142</v>
      </c>
      <c r="K12" s="13" t="s">
        <v>143</v>
      </c>
      <c r="L12" s="13" t="s">
        <v>144</v>
      </c>
      <c r="M12" s="13" t="s">
        <v>80</v>
      </c>
      <c r="N12" s="13" t="s">
        <v>145</v>
      </c>
    </row>
    <row r="13" customFormat="false" ht="15" hidden="false" customHeight="false" outlineLevel="0" collapsed="false">
      <c r="A13" s="13" t="s">
        <v>146</v>
      </c>
      <c r="B13" s="13" t="s">
        <v>99</v>
      </c>
      <c r="C13" s="13" t="s">
        <v>147</v>
      </c>
      <c r="D13" s="13" t="s">
        <v>148</v>
      </c>
      <c r="E13" s="13" t="s">
        <v>149</v>
      </c>
      <c r="F13" s="13" t="s">
        <v>102</v>
      </c>
      <c r="G13" s="13" t="s">
        <v>141</v>
      </c>
      <c r="H13" s="13"/>
      <c r="I13" s="13" t="s">
        <v>99</v>
      </c>
      <c r="J13" s="13" t="s">
        <v>150</v>
      </c>
      <c r="K13" s="13" t="s">
        <v>151</v>
      </c>
      <c r="L13" s="13" t="s">
        <v>152</v>
      </c>
      <c r="M13" s="13" t="s">
        <v>80</v>
      </c>
      <c r="N13" s="13" t="s">
        <v>89</v>
      </c>
    </row>
    <row r="14" customFormat="false" ht="15" hidden="false" customHeight="false" outlineLevel="0" collapsed="false">
      <c r="A14" s="13" t="s">
        <v>153</v>
      </c>
      <c r="B14" s="13" t="s">
        <v>99</v>
      </c>
      <c r="C14" s="13" t="s">
        <v>147</v>
      </c>
      <c r="D14" s="13" t="s">
        <v>154</v>
      </c>
      <c r="E14" s="13" t="s">
        <v>92</v>
      </c>
      <c r="F14" s="13" t="s">
        <v>102</v>
      </c>
      <c r="G14" s="13" t="s">
        <v>141</v>
      </c>
      <c r="H14" s="13"/>
      <c r="I14" s="13"/>
      <c r="J14" s="13" t="s">
        <v>155</v>
      </c>
      <c r="K14" s="13" t="s">
        <v>156</v>
      </c>
      <c r="L14" s="13" t="s">
        <v>157</v>
      </c>
      <c r="M14" s="13" t="s">
        <v>80</v>
      </c>
      <c r="N14" s="13" t="s">
        <v>158</v>
      </c>
    </row>
    <row r="15" customFormat="false" ht="15" hidden="false" customHeight="false" outlineLevel="0" collapsed="false">
      <c r="A15" s="13" t="s">
        <v>159</v>
      </c>
      <c r="B15" s="13" t="s">
        <v>160</v>
      </c>
      <c r="C15" s="13" t="s">
        <v>147</v>
      </c>
      <c r="D15" s="13" t="s">
        <v>161</v>
      </c>
      <c r="E15" s="13" t="s">
        <v>149</v>
      </c>
      <c r="F15" s="13" t="s">
        <v>102</v>
      </c>
      <c r="G15" s="13" t="s">
        <v>141</v>
      </c>
      <c r="H15" s="13"/>
      <c r="I15" s="13" t="s">
        <v>162</v>
      </c>
      <c r="J15" s="13" t="s">
        <v>163</v>
      </c>
      <c r="K15" s="13" t="s">
        <v>164</v>
      </c>
      <c r="L15" s="13" t="s">
        <v>165</v>
      </c>
      <c r="M15" s="13" t="s">
        <v>80</v>
      </c>
      <c r="N15" s="13" t="s">
        <v>166</v>
      </c>
    </row>
    <row r="16" customFormat="false" ht="15" hidden="false" customHeight="false" outlineLevel="0" collapsed="false">
      <c r="A16" s="13" t="s">
        <v>167</v>
      </c>
      <c r="B16" s="13" t="s">
        <v>160</v>
      </c>
      <c r="C16" s="13" t="s">
        <v>147</v>
      </c>
      <c r="D16" s="13" t="s">
        <v>168</v>
      </c>
      <c r="E16" s="13" t="s">
        <v>149</v>
      </c>
      <c r="F16" s="13" t="s">
        <v>75</v>
      </c>
      <c r="G16" s="13" t="s">
        <v>141</v>
      </c>
      <c r="H16" s="13"/>
      <c r="I16" s="13"/>
      <c r="J16" s="13" t="s">
        <v>169</v>
      </c>
      <c r="K16" s="13" t="s">
        <v>170</v>
      </c>
      <c r="L16" s="13" t="s">
        <v>171</v>
      </c>
      <c r="M16" s="13" t="s">
        <v>80</v>
      </c>
      <c r="N16" s="13" t="s">
        <v>166</v>
      </c>
    </row>
    <row r="17" customFormat="false" ht="15" hidden="false" customHeight="false" outlineLevel="0" collapsed="false">
      <c r="A17" s="13" t="s">
        <v>172</v>
      </c>
      <c r="B17" s="13" t="s">
        <v>112</v>
      </c>
      <c r="C17" s="13" t="s">
        <v>147</v>
      </c>
      <c r="D17" s="13" t="s">
        <v>173</v>
      </c>
      <c r="E17" s="13" t="s">
        <v>149</v>
      </c>
      <c r="F17" s="13" t="s">
        <v>102</v>
      </c>
      <c r="G17" s="13" t="s">
        <v>93</v>
      </c>
      <c r="H17" s="13" t="s">
        <v>174</v>
      </c>
      <c r="I17" s="13" t="s">
        <v>99</v>
      </c>
      <c r="J17" s="13" t="s">
        <v>175</v>
      </c>
      <c r="K17" s="13" t="s">
        <v>176</v>
      </c>
      <c r="L17" s="13" t="s">
        <v>97</v>
      </c>
      <c r="M17" s="13" t="s">
        <v>80</v>
      </c>
      <c r="N17" s="13" t="s">
        <v>89</v>
      </c>
    </row>
    <row r="18" customFormat="false" ht="15" hidden="false" customHeight="false" outlineLevel="0" collapsed="false">
      <c r="A18" s="13" t="s">
        <v>177</v>
      </c>
      <c r="B18" s="13" t="s">
        <v>112</v>
      </c>
      <c r="C18" s="13" t="s">
        <v>178</v>
      </c>
      <c r="D18" s="13" t="s">
        <v>179</v>
      </c>
      <c r="E18" s="13" t="s">
        <v>180</v>
      </c>
      <c r="F18" s="13" t="s">
        <v>102</v>
      </c>
      <c r="G18" s="13" t="s">
        <v>141</v>
      </c>
      <c r="H18" s="13"/>
      <c r="I18" s="13"/>
      <c r="J18" s="13" t="s">
        <v>181</v>
      </c>
      <c r="K18" s="13" t="s">
        <v>182</v>
      </c>
      <c r="L18" s="13" t="s">
        <v>183</v>
      </c>
      <c r="M18" s="13" t="s">
        <v>184</v>
      </c>
      <c r="N18" s="13" t="s">
        <v>89</v>
      </c>
    </row>
    <row r="19" customFormat="false" ht="15" hidden="false" customHeight="false" outlineLevel="0" collapsed="false">
      <c r="A19" s="13" t="s">
        <v>185</v>
      </c>
      <c r="B19" s="13" t="s">
        <v>99</v>
      </c>
      <c r="C19" s="13" t="s">
        <v>178</v>
      </c>
      <c r="D19" s="13" t="s">
        <v>186</v>
      </c>
      <c r="E19" s="13" t="s">
        <v>92</v>
      </c>
      <c r="F19" s="13" t="s">
        <v>102</v>
      </c>
      <c r="G19" s="13" t="s">
        <v>141</v>
      </c>
      <c r="H19" s="13"/>
      <c r="I19" s="13"/>
      <c r="J19" s="13" t="s">
        <v>187</v>
      </c>
      <c r="K19" s="13" t="s">
        <v>188</v>
      </c>
      <c r="L19" s="13" t="s">
        <v>189</v>
      </c>
      <c r="M19" s="13" t="s">
        <v>184</v>
      </c>
      <c r="N19" s="13" t="s">
        <v>145</v>
      </c>
    </row>
    <row r="20" customFormat="false" ht="15" hidden="false" customHeight="false" outlineLevel="0" collapsed="false">
      <c r="A20" s="13" t="s">
        <v>190</v>
      </c>
      <c r="B20" s="13" t="s">
        <v>120</v>
      </c>
      <c r="C20" s="13" t="s">
        <v>191</v>
      </c>
      <c r="D20" s="13" t="s">
        <v>192</v>
      </c>
      <c r="E20" s="13" t="s">
        <v>92</v>
      </c>
      <c r="F20" s="13" t="s">
        <v>75</v>
      </c>
      <c r="G20" s="13" t="s">
        <v>141</v>
      </c>
      <c r="H20" s="13"/>
      <c r="I20" s="13" t="s">
        <v>120</v>
      </c>
      <c r="J20" s="13" t="s">
        <v>193</v>
      </c>
      <c r="K20" s="13" t="s">
        <v>194</v>
      </c>
      <c r="L20" s="13" t="s">
        <v>195</v>
      </c>
      <c r="M20" s="13" t="s">
        <v>184</v>
      </c>
      <c r="N20" s="13" t="s">
        <v>89</v>
      </c>
    </row>
    <row r="21" customFormat="false" ht="15" hidden="false" customHeight="false" outlineLevel="0" collapsed="false">
      <c r="A21" s="13" t="s">
        <v>196</v>
      </c>
      <c r="B21" s="13" t="s">
        <v>120</v>
      </c>
      <c r="C21" s="13" t="s">
        <v>197</v>
      </c>
      <c r="D21" s="13" t="s">
        <v>198</v>
      </c>
      <c r="E21" s="13" t="s">
        <v>92</v>
      </c>
      <c r="F21" s="13" t="s">
        <v>75</v>
      </c>
      <c r="G21" s="13" t="s">
        <v>141</v>
      </c>
      <c r="H21" s="13"/>
      <c r="I21" s="13"/>
      <c r="J21" s="13" t="s">
        <v>199</v>
      </c>
      <c r="K21" s="13" t="s">
        <v>200</v>
      </c>
      <c r="L21" s="13" t="s">
        <v>201</v>
      </c>
      <c r="M21" s="13" t="s">
        <v>184</v>
      </c>
      <c r="N21" s="13" t="s">
        <v>202</v>
      </c>
    </row>
    <row r="22" customFormat="false" ht="15" hidden="false" customHeight="false" outlineLevel="0" collapsed="false">
      <c r="A22" s="13" t="s">
        <v>203</v>
      </c>
      <c r="B22" s="13" t="s">
        <v>204</v>
      </c>
      <c r="C22" s="13" t="s">
        <v>205</v>
      </c>
      <c r="D22" s="13" t="s">
        <v>206</v>
      </c>
      <c r="E22" s="13" t="s">
        <v>207</v>
      </c>
      <c r="F22" s="13" t="s">
        <v>75</v>
      </c>
      <c r="G22" s="13" t="s">
        <v>141</v>
      </c>
      <c r="H22" s="13"/>
      <c r="I22" s="13" t="s">
        <v>204</v>
      </c>
      <c r="J22" s="13" t="s">
        <v>208</v>
      </c>
      <c r="K22" s="13" t="s">
        <v>209</v>
      </c>
      <c r="L22" s="13" t="s">
        <v>210</v>
      </c>
      <c r="M22" s="13" t="s">
        <v>80</v>
      </c>
      <c r="N22" s="13" t="s">
        <v>81</v>
      </c>
    </row>
    <row r="23" customFormat="false" ht="15" hidden="false" customHeight="false" outlineLevel="0" collapsed="false">
      <c r="A23" s="13" t="s">
        <v>211</v>
      </c>
      <c r="B23" s="13" t="s">
        <v>120</v>
      </c>
      <c r="C23" s="13" t="s">
        <v>212</v>
      </c>
      <c r="D23" s="13" t="s">
        <v>213</v>
      </c>
      <c r="E23" s="13" t="s">
        <v>214</v>
      </c>
      <c r="F23" s="13" t="s">
        <v>102</v>
      </c>
      <c r="G23" s="13" t="s">
        <v>141</v>
      </c>
      <c r="H23" s="13"/>
      <c r="I23" s="13"/>
      <c r="J23" s="13" t="s">
        <v>215</v>
      </c>
      <c r="K23" s="13" t="s">
        <v>216</v>
      </c>
      <c r="L23" s="13" t="s">
        <v>217</v>
      </c>
      <c r="M23" s="13" t="s">
        <v>184</v>
      </c>
      <c r="N23" s="13" t="s">
        <v>218</v>
      </c>
    </row>
    <row r="24" customFormat="false" ht="15" hidden="false" customHeight="false" outlineLevel="0" collapsed="false">
      <c r="A24" s="13" t="s">
        <v>219</v>
      </c>
      <c r="B24" s="13" t="s">
        <v>120</v>
      </c>
      <c r="C24" s="13" t="s">
        <v>212</v>
      </c>
      <c r="D24" s="13" t="s">
        <v>220</v>
      </c>
      <c r="E24" s="13" t="s">
        <v>92</v>
      </c>
      <c r="F24" s="13" t="s">
        <v>102</v>
      </c>
      <c r="G24" s="13" t="s">
        <v>141</v>
      </c>
      <c r="H24" s="13"/>
      <c r="I24" s="13"/>
      <c r="J24" s="13" t="s">
        <v>221</v>
      </c>
      <c r="K24" s="13" t="s">
        <v>222</v>
      </c>
      <c r="L24" s="13" t="s">
        <v>223</v>
      </c>
      <c r="M24" s="13" t="s">
        <v>184</v>
      </c>
      <c r="N24" s="13" t="s">
        <v>218</v>
      </c>
    </row>
    <row r="25" customFormat="false" ht="15" hidden="false" customHeight="false" outlineLevel="0" collapsed="false">
      <c r="A25" s="13" t="s">
        <v>224</v>
      </c>
      <c r="B25" s="13" t="s">
        <v>120</v>
      </c>
      <c r="C25" s="13" t="s">
        <v>212</v>
      </c>
      <c r="D25" s="13" t="s">
        <v>225</v>
      </c>
      <c r="E25" s="13" t="s">
        <v>74</v>
      </c>
      <c r="F25" s="13" t="s">
        <v>75</v>
      </c>
      <c r="G25" s="13" t="s">
        <v>93</v>
      </c>
      <c r="H25" s="13" t="s">
        <v>226</v>
      </c>
      <c r="I25" s="13" t="s">
        <v>120</v>
      </c>
      <c r="J25" s="13" t="s">
        <v>227</v>
      </c>
      <c r="K25" s="13" t="s">
        <v>228</v>
      </c>
      <c r="L25" s="13" t="s">
        <v>97</v>
      </c>
      <c r="M25" s="13" t="s">
        <v>80</v>
      </c>
      <c r="N25" s="13" t="s">
        <v>89</v>
      </c>
    </row>
    <row r="26" customFormat="false" ht="15" hidden="false" customHeight="false" outlineLevel="0" collapsed="false">
      <c r="A26" s="13" t="s">
        <v>229</v>
      </c>
      <c r="B26" s="13" t="s">
        <v>230</v>
      </c>
      <c r="C26" s="13" t="s">
        <v>72</v>
      </c>
      <c r="D26" s="13" t="s">
        <v>231</v>
      </c>
      <c r="E26" s="13" t="s">
        <v>232</v>
      </c>
      <c r="F26" s="13" t="s">
        <v>75</v>
      </c>
      <c r="G26" s="13" t="s">
        <v>76</v>
      </c>
      <c r="H26" s="13"/>
      <c r="I26" s="13"/>
      <c r="J26" s="13" t="s">
        <v>233</v>
      </c>
      <c r="K26" s="13" t="s">
        <v>234</v>
      </c>
      <c r="L26" s="13" t="s">
        <v>235</v>
      </c>
      <c r="M26" s="13" t="s">
        <v>80</v>
      </c>
      <c r="N26" s="13" t="s">
        <v>81</v>
      </c>
    </row>
    <row r="27" customFormat="false" ht="15" hidden="false" customHeight="false" outlineLevel="0" collapsed="false">
      <c r="A27" s="13" t="s">
        <v>236</v>
      </c>
      <c r="B27" s="13" t="s">
        <v>230</v>
      </c>
      <c r="C27" s="13" t="s">
        <v>205</v>
      </c>
      <c r="D27" s="13" t="s">
        <v>237</v>
      </c>
      <c r="E27" s="13" t="s">
        <v>207</v>
      </c>
      <c r="F27" s="13" t="s">
        <v>75</v>
      </c>
      <c r="G27" s="13" t="s">
        <v>76</v>
      </c>
      <c r="H27" s="13"/>
      <c r="I27" s="13"/>
      <c r="J27" s="13" t="s">
        <v>238</v>
      </c>
      <c r="K27" s="13" t="s">
        <v>239</v>
      </c>
      <c r="L27" s="13" t="s">
        <v>240</v>
      </c>
      <c r="M27" s="13" t="s">
        <v>80</v>
      </c>
      <c r="N27" s="13" t="s">
        <v>81</v>
      </c>
    </row>
    <row r="28" customFormat="false" ht="15" hidden="false" customHeight="false" outlineLevel="0" collapsed="false">
      <c r="A28" s="13" t="s">
        <v>241</v>
      </c>
      <c r="B28" s="13" t="s">
        <v>230</v>
      </c>
      <c r="C28" s="13" t="s">
        <v>205</v>
      </c>
      <c r="D28" s="13" t="s">
        <v>242</v>
      </c>
      <c r="E28" s="13" t="s">
        <v>92</v>
      </c>
      <c r="F28" s="13" t="s">
        <v>75</v>
      </c>
      <c r="G28" s="13" t="s">
        <v>243</v>
      </c>
      <c r="H28" s="13"/>
      <c r="I28" s="13" t="s">
        <v>230</v>
      </c>
      <c r="J28" s="13" t="s">
        <v>244</v>
      </c>
      <c r="K28" s="13" t="s">
        <v>245</v>
      </c>
      <c r="L28" s="13" t="s">
        <v>246</v>
      </c>
      <c r="M28" s="13" t="s">
        <v>80</v>
      </c>
      <c r="N28" s="13" t="s">
        <v>81</v>
      </c>
    </row>
    <row r="29" customFormat="false" ht="15" hidden="false" customHeight="false" outlineLevel="0" collapsed="false">
      <c r="A29" s="13" t="s">
        <v>247</v>
      </c>
      <c r="B29" s="13" t="s">
        <v>230</v>
      </c>
      <c r="C29" s="13" t="s">
        <v>248</v>
      </c>
      <c r="D29" s="13" t="s">
        <v>249</v>
      </c>
      <c r="E29" s="13" t="s">
        <v>250</v>
      </c>
      <c r="F29" s="13" t="s">
        <v>75</v>
      </c>
      <c r="G29" s="13" t="s">
        <v>76</v>
      </c>
      <c r="H29" s="13"/>
      <c r="I29" s="13"/>
      <c r="J29" s="13" t="s">
        <v>251</v>
      </c>
      <c r="K29" s="13" t="s">
        <v>252</v>
      </c>
      <c r="L29" s="13" t="s">
        <v>253</v>
      </c>
      <c r="M29" s="13" t="s">
        <v>80</v>
      </c>
      <c r="N29" s="13" t="s">
        <v>81</v>
      </c>
    </row>
    <row r="30" customFormat="false" ht="15" hidden="false" customHeight="false" outlineLevel="0" collapsed="false">
      <c r="A30" s="13" t="s">
        <v>254</v>
      </c>
      <c r="B30" s="13" t="s">
        <v>230</v>
      </c>
      <c r="C30" s="13" t="s">
        <v>248</v>
      </c>
      <c r="D30" s="13" t="s">
        <v>255</v>
      </c>
      <c r="E30" s="13" t="s">
        <v>256</v>
      </c>
      <c r="F30" s="13" t="s">
        <v>75</v>
      </c>
      <c r="G30" s="13" t="s">
        <v>93</v>
      </c>
      <c r="H30" s="13" t="s">
        <v>257</v>
      </c>
      <c r="I30" s="13"/>
      <c r="J30" s="13" t="s">
        <v>258</v>
      </c>
      <c r="K30" s="13" t="s">
        <v>259</v>
      </c>
      <c r="L30" s="13" t="s">
        <v>97</v>
      </c>
      <c r="M30" s="13" t="s">
        <v>80</v>
      </c>
      <c r="N30" s="13" t="s">
        <v>81</v>
      </c>
    </row>
    <row r="31" customFormat="false" ht="15" hidden="false" customHeight="false" outlineLevel="0" collapsed="false">
      <c r="A31" s="13" t="s">
        <v>260</v>
      </c>
      <c r="B31" s="13" t="s">
        <v>230</v>
      </c>
      <c r="C31" s="13" t="s">
        <v>248</v>
      </c>
      <c r="D31" s="13" t="s">
        <v>261</v>
      </c>
      <c r="E31" s="13" t="s">
        <v>250</v>
      </c>
      <c r="F31" s="13" t="s">
        <v>75</v>
      </c>
      <c r="G31" s="13" t="s">
        <v>243</v>
      </c>
      <c r="H31" s="13"/>
      <c r="I31" s="13"/>
      <c r="J31" s="13" t="s">
        <v>262</v>
      </c>
      <c r="K31" s="13" t="s">
        <v>263</v>
      </c>
      <c r="L31" s="13" t="s">
        <v>264</v>
      </c>
      <c r="M31" s="13" t="s">
        <v>80</v>
      </c>
      <c r="N31" s="13" t="s">
        <v>81</v>
      </c>
    </row>
    <row r="32" customFormat="false" ht="15" hidden="false" customHeight="false" outlineLevel="0" collapsed="false">
      <c r="A32" s="13" t="s">
        <v>265</v>
      </c>
      <c r="B32" s="13" t="s">
        <v>230</v>
      </c>
      <c r="C32" s="13" t="s">
        <v>248</v>
      </c>
      <c r="D32" s="13" t="s">
        <v>266</v>
      </c>
      <c r="E32" s="13" t="s">
        <v>92</v>
      </c>
      <c r="F32" s="13" t="s">
        <v>75</v>
      </c>
      <c r="G32" s="13" t="s">
        <v>243</v>
      </c>
      <c r="H32" s="13"/>
      <c r="I32" s="13"/>
      <c r="J32" s="13" t="s">
        <v>267</v>
      </c>
      <c r="K32" s="13" t="s">
        <v>268</v>
      </c>
      <c r="L32" s="13" t="s">
        <v>269</v>
      </c>
      <c r="M32" s="13" t="s">
        <v>80</v>
      </c>
      <c r="N32" s="13" t="s">
        <v>81</v>
      </c>
    </row>
    <row r="33" customFormat="false" ht="15" hidden="false" customHeight="false" outlineLevel="0" collapsed="false">
      <c r="A33" s="13" t="s">
        <v>270</v>
      </c>
      <c r="B33" s="13" t="s">
        <v>230</v>
      </c>
      <c r="C33" s="13" t="s">
        <v>248</v>
      </c>
      <c r="D33" s="13" t="s">
        <v>271</v>
      </c>
      <c r="E33" s="13" t="s">
        <v>92</v>
      </c>
      <c r="F33" s="13" t="s">
        <v>75</v>
      </c>
      <c r="G33" s="13" t="s">
        <v>243</v>
      </c>
      <c r="H33" s="13"/>
      <c r="I33" s="13"/>
      <c r="J33" s="13" t="s">
        <v>272</v>
      </c>
      <c r="K33" s="13" t="s">
        <v>273</v>
      </c>
      <c r="L33" s="13" t="s">
        <v>274</v>
      </c>
      <c r="M33" s="13" t="s">
        <v>80</v>
      </c>
      <c r="N33" s="13" t="s">
        <v>81</v>
      </c>
    </row>
    <row r="34" customFormat="false" ht="15" hidden="false" customHeight="false" outlineLevel="0" collapsed="false">
      <c r="A34" s="13" t="s">
        <v>275</v>
      </c>
      <c r="B34" s="13" t="s">
        <v>230</v>
      </c>
      <c r="C34" s="13" t="s">
        <v>276</v>
      </c>
      <c r="D34" s="13" t="s">
        <v>277</v>
      </c>
      <c r="E34" s="13" t="s">
        <v>92</v>
      </c>
      <c r="F34" s="13" t="s">
        <v>75</v>
      </c>
      <c r="G34" s="13" t="s">
        <v>243</v>
      </c>
      <c r="H34" s="13"/>
      <c r="I34" s="13" t="s">
        <v>230</v>
      </c>
      <c r="J34" s="13" t="s">
        <v>278</v>
      </c>
      <c r="K34" s="13" t="s">
        <v>279</v>
      </c>
      <c r="L34" s="13" t="s">
        <v>280</v>
      </c>
      <c r="M34" s="13" t="s">
        <v>80</v>
      </c>
      <c r="N34" s="13" t="s">
        <v>127</v>
      </c>
    </row>
    <row r="35" customFormat="false" ht="15" hidden="false" customHeight="false" outlineLevel="0" collapsed="false">
      <c r="A35" s="13" t="s">
        <v>281</v>
      </c>
      <c r="B35" s="13"/>
      <c r="C35" s="13" t="s">
        <v>276</v>
      </c>
      <c r="D35" s="13" t="s">
        <v>282</v>
      </c>
      <c r="E35" s="13" t="s">
        <v>74</v>
      </c>
      <c r="F35" s="13" t="s">
        <v>102</v>
      </c>
      <c r="G35" s="13" t="s">
        <v>76</v>
      </c>
      <c r="H35" s="13"/>
      <c r="I35" s="13"/>
      <c r="J35" s="13"/>
      <c r="K35" s="13" t="s">
        <v>283</v>
      </c>
      <c r="L35" s="13" t="s">
        <v>284</v>
      </c>
      <c r="M35" s="13" t="s">
        <v>80</v>
      </c>
      <c r="N35" s="13" t="s">
        <v>81</v>
      </c>
    </row>
    <row r="36" customFormat="false" ht="15" hidden="false" customHeight="false" outlineLevel="0" collapsed="false">
      <c r="A36" s="13" t="s">
        <v>285</v>
      </c>
      <c r="B36" s="13" t="s">
        <v>230</v>
      </c>
      <c r="C36" s="13" t="s">
        <v>276</v>
      </c>
      <c r="D36" s="13" t="s">
        <v>286</v>
      </c>
      <c r="E36" s="13" t="s">
        <v>92</v>
      </c>
      <c r="F36" s="13" t="s">
        <v>102</v>
      </c>
      <c r="G36" s="13" t="s">
        <v>93</v>
      </c>
      <c r="H36" s="13" t="s">
        <v>287</v>
      </c>
      <c r="I36" s="13"/>
      <c r="J36" s="13" t="s">
        <v>288</v>
      </c>
      <c r="K36" s="13" t="s">
        <v>289</v>
      </c>
      <c r="L36" s="13" t="s">
        <v>97</v>
      </c>
      <c r="M36" s="13" t="s">
        <v>80</v>
      </c>
      <c r="N36" s="13" t="s">
        <v>81</v>
      </c>
    </row>
    <row r="37" customFormat="false" ht="15" hidden="false" customHeight="false" outlineLevel="0" collapsed="false">
      <c r="A37" s="13" t="s">
        <v>290</v>
      </c>
      <c r="B37" s="13"/>
      <c r="C37" s="13" t="s">
        <v>276</v>
      </c>
      <c r="D37" s="13" t="s">
        <v>291</v>
      </c>
      <c r="E37" s="13" t="s">
        <v>74</v>
      </c>
      <c r="F37" s="13" t="s">
        <v>102</v>
      </c>
      <c r="G37" s="13" t="s">
        <v>76</v>
      </c>
      <c r="H37" s="13"/>
      <c r="I37" s="13"/>
      <c r="J37" s="13"/>
      <c r="K37" s="13" t="s">
        <v>292</v>
      </c>
      <c r="L37" s="13" t="s">
        <v>293</v>
      </c>
      <c r="M37" s="13" t="s">
        <v>80</v>
      </c>
      <c r="N37" s="13" t="s">
        <v>81</v>
      </c>
    </row>
    <row r="38" customFormat="false" ht="15" hidden="false" customHeight="false" outlineLevel="0" collapsed="false">
      <c r="A38" s="13" t="s">
        <v>294</v>
      </c>
      <c r="B38" s="13" t="s">
        <v>230</v>
      </c>
      <c r="C38" s="13" t="s">
        <v>276</v>
      </c>
      <c r="D38" s="13" t="s">
        <v>295</v>
      </c>
      <c r="E38" s="13" t="s">
        <v>92</v>
      </c>
      <c r="F38" s="13" t="s">
        <v>102</v>
      </c>
      <c r="G38" s="13" t="s">
        <v>93</v>
      </c>
      <c r="H38" s="13" t="s">
        <v>296</v>
      </c>
      <c r="I38" s="13"/>
      <c r="J38" s="13" t="s">
        <v>297</v>
      </c>
      <c r="K38" s="13" t="s">
        <v>298</v>
      </c>
      <c r="L38" s="13" t="s">
        <v>97</v>
      </c>
      <c r="M38" s="13" t="s">
        <v>80</v>
      </c>
      <c r="N38" s="13" t="s">
        <v>81</v>
      </c>
    </row>
    <row r="39" customFormat="false" ht="15" hidden="false" customHeight="false" outlineLevel="0" collapsed="false">
      <c r="A39" s="13" t="s">
        <v>299</v>
      </c>
      <c r="B39" s="13" t="s">
        <v>230</v>
      </c>
      <c r="C39" s="13" t="s">
        <v>134</v>
      </c>
      <c r="D39" s="13" t="s">
        <v>300</v>
      </c>
      <c r="E39" s="13" t="s">
        <v>92</v>
      </c>
      <c r="F39" s="13" t="s">
        <v>75</v>
      </c>
      <c r="G39" s="13" t="s">
        <v>243</v>
      </c>
      <c r="H39" s="13"/>
      <c r="I39" s="13"/>
      <c r="J39" s="13" t="s">
        <v>301</v>
      </c>
      <c r="K39" s="13" t="s">
        <v>302</v>
      </c>
      <c r="L39" s="13" t="s">
        <v>303</v>
      </c>
      <c r="M39" s="13" t="s">
        <v>80</v>
      </c>
      <c r="N39" s="13" t="s">
        <v>158</v>
      </c>
    </row>
    <row r="40" customFormat="false" ht="15" hidden="false" customHeight="false" outlineLevel="0" collapsed="false">
      <c r="A40" s="13" t="s">
        <v>304</v>
      </c>
      <c r="B40" s="13" t="s">
        <v>162</v>
      </c>
      <c r="C40" s="13" t="s">
        <v>305</v>
      </c>
      <c r="D40" s="13" t="s">
        <v>306</v>
      </c>
      <c r="E40" s="13" t="s">
        <v>74</v>
      </c>
      <c r="F40" s="13" t="s">
        <v>102</v>
      </c>
      <c r="G40" s="13" t="s">
        <v>76</v>
      </c>
      <c r="H40" s="13"/>
      <c r="I40" s="13" t="s">
        <v>162</v>
      </c>
      <c r="J40" s="13" t="s">
        <v>307</v>
      </c>
      <c r="K40" s="13" t="s">
        <v>308</v>
      </c>
      <c r="L40" s="13" t="s">
        <v>309</v>
      </c>
      <c r="M40" s="13" t="s">
        <v>80</v>
      </c>
      <c r="N40" s="13" t="s">
        <v>166</v>
      </c>
    </row>
    <row r="41" customFormat="false" ht="15" hidden="false" customHeight="false" outlineLevel="0" collapsed="false">
      <c r="A41" s="13" t="s">
        <v>310</v>
      </c>
      <c r="B41" s="13" t="s">
        <v>162</v>
      </c>
      <c r="C41" s="13" t="s">
        <v>311</v>
      </c>
      <c r="D41" s="13" t="s">
        <v>312</v>
      </c>
      <c r="E41" s="13" t="s">
        <v>74</v>
      </c>
      <c r="F41" s="13" t="s">
        <v>102</v>
      </c>
      <c r="G41" s="13" t="s">
        <v>141</v>
      </c>
      <c r="H41" s="13"/>
      <c r="I41" s="13" t="s">
        <v>162</v>
      </c>
      <c r="J41" s="13" t="s">
        <v>313</v>
      </c>
      <c r="K41" s="13" t="s">
        <v>314</v>
      </c>
      <c r="L41" s="13" t="s">
        <v>315</v>
      </c>
      <c r="M41" s="13" t="s">
        <v>80</v>
      </c>
      <c r="N41" s="13" t="s">
        <v>166</v>
      </c>
    </row>
    <row r="42" customFormat="false" ht="15" hidden="false" customHeight="false" outlineLevel="0" collapsed="false">
      <c r="A42" s="13" t="s">
        <v>316</v>
      </c>
      <c r="B42" s="13" t="s">
        <v>162</v>
      </c>
      <c r="C42" s="13" t="s">
        <v>311</v>
      </c>
      <c r="D42" s="13" t="s">
        <v>317</v>
      </c>
      <c r="E42" s="13" t="s">
        <v>318</v>
      </c>
      <c r="F42" s="13" t="s">
        <v>75</v>
      </c>
      <c r="G42" s="13" t="s">
        <v>93</v>
      </c>
      <c r="H42" s="13" t="s">
        <v>319</v>
      </c>
      <c r="I42" s="13"/>
      <c r="J42" s="13" t="s">
        <v>320</v>
      </c>
      <c r="K42" s="13" t="s">
        <v>321</v>
      </c>
      <c r="L42" s="13" t="s">
        <v>97</v>
      </c>
      <c r="M42" s="13" t="s">
        <v>80</v>
      </c>
      <c r="N42" s="13" t="s">
        <v>166</v>
      </c>
    </row>
    <row r="43" customFormat="false" ht="15" hidden="false" customHeight="false" outlineLevel="0" collapsed="false">
      <c r="A43" s="13" t="s">
        <v>322</v>
      </c>
      <c r="B43" s="13" t="s">
        <v>162</v>
      </c>
      <c r="C43" s="13" t="s">
        <v>311</v>
      </c>
      <c r="D43" s="13" t="s">
        <v>323</v>
      </c>
      <c r="E43" s="13" t="s">
        <v>92</v>
      </c>
      <c r="F43" s="13" t="s">
        <v>102</v>
      </c>
      <c r="G43" s="13" t="s">
        <v>141</v>
      </c>
      <c r="H43" s="13"/>
      <c r="I43" s="13" t="s">
        <v>162</v>
      </c>
      <c r="J43" s="13" t="s">
        <v>324</v>
      </c>
      <c r="K43" s="13" t="s">
        <v>325</v>
      </c>
      <c r="L43" s="13" t="s">
        <v>326</v>
      </c>
      <c r="M43" s="13" t="s">
        <v>184</v>
      </c>
      <c r="N43" s="13" t="s">
        <v>166</v>
      </c>
    </row>
    <row r="44" customFormat="false" ht="15" hidden="false" customHeight="false" outlineLevel="0" collapsed="false">
      <c r="A44" s="13" t="s">
        <v>327</v>
      </c>
      <c r="B44" s="13"/>
      <c r="C44" s="13" t="s">
        <v>311</v>
      </c>
      <c r="D44" s="13" t="s">
        <v>328</v>
      </c>
      <c r="E44" s="13" t="s">
        <v>74</v>
      </c>
      <c r="F44" s="13" t="s">
        <v>102</v>
      </c>
      <c r="G44" s="13" t="s">
        <v>76</v>
      </c>
      <c r="H44" s="13"/>
      <c r="I44" s="13"/>
      <c r="J44" s="13"/>
      <c r="K44" s="13" t="s">
        <v>329</v>
      </c>
      <c r="L44" s="13" t="s">
        <v>330</v>
      </c>
      <c r="M44" s="13" t="s">
        <v>80</v>
      </c>
      <c r="N44" s="13" t="s">
        <v>166</v>
      </c>
    </row>
    <row r="45" customFormat="false" ht="15" hidden="false" customHeight="false" outlineLevel="0" collapsed="false">
      <c r="A45" s="13" t="s">
        <v>331</v>
      </c>
      <c r="B45" s="13" t="s">
        <v>162</v>
      </c>
      <c r="C45" s="13" t="s">
        <v>311</v>
      </c>
      <c r="D45" s="13" t="s">
        <v>332</v>
      </c>
      <c r="E45" s="13" t="s">
        <v>92</v>
      </c>
      <c r="F45" s="13" t="s">
        <v>102</v>
      </c>
      <c r="G45" s="13" t="s">
        <v>93</v>
      </c>
      <c r="H45" s="13" t="s">
        <v>333</v>
      </c>
      <c r="I45" s="13"/>
      <c r="J45" s="13" t="s">
        <v>334</v>
      </c>
      <c r="K45" s="13" t="s">
        <v>335</v>
      </c>
      <c r="L45" s="13" t="s">
        <v>97</v>
      </c>
      <c r="M45" s="13" t="s">
        <v>80</v>
      </c>
      <c r="N45" s="13" t="s">
        <v>166</v>
      </c>
    </row>
    <row r="46" customFormat="false" ht="15" hidden="false" customHeight="false" outlineLevel="0" collapsed="false">
      <c r="A46" s="13" t="s">
        <v>336</v>
      </c>
      <c r="B46" s="13" t="s">
        <v>162</v>
      </c>
      <c r="C46" s="13" t="s">
        <v>337</v>
      </c>
      <c r="D46" s="13" t="s">
        <v>338</v>
      </c>
      <c r="E46" s="13" t="s">
        <v>92</v>
      </c>
      <c r="F46" s="13" t="s">
        <v>102</v>
      </c>
      <c r="G46" s="13" t="s">
        <v>243</v>
      </c>
      <c r="H46" s="13"/>
      <c r="I46" s="13" t="s">
        <v>162</v>
      </c>
      <c r="J46" s="13" t="s">
        <v>339</v>
      </c>
      <c r="K46" s="13" t="s">
        <v>340</v>
      </c>
      <c r="L46" s="13" t="s">
        <v>341</v>
      </c>
      <c r="M46" s="13" t="s">
        <v>80</v>
      </c>
      <c r="N46" s="13" t="s">
        <v>166</v>
      </c>
    </row>
    <row r="47" customFormat="false" ht="15" hidden="false" customHeight="false" outlineLevel="0" collapsed="false">
      <c r="A47" s="13" t="s">
        <v>342</v>
      </c>
      <c r="B47" s="13" t="s">
        <v>162</v>
      </c>
      <c r="C47" s="13" t="s">
        <v>337</v>
      </c>
      <c r="D47" s="13" t="s">
        <v>343</v>
      </c>
      <c r="E47" s="13" t="s">
        <v>92</v>
      </c>
      <c r="F47" s="13" t="s">
        <v>75</v>
      </c>
      <c r="G47" s="13" t="s">
        <v>243</v>
      </c>
      <c r="H47" s="13"/>
      <c r="I47" s="13"/>
      <c r="J47" s="13" t="s">
        <v>344</v>
      </c>
      <c r="K47" s="13" t="s">
        <v>345</v>
      </c>
      <c r="L47" s="13" t="s">
        <v>346</v>
      </c>
      <c r="M47" s="13" t="s">
        <v>80</v>
      </c>
      <c r="N47" s="13" t="s">
        <v>127</v>
      </c>
    </row>
    <row r="48" customFormat="false" ht="15" hidden="false" customHeight="false" outlineLevel="0" collapsed="false">
      <c r="A48" s="13" t="s">
        <v>347</v>
      </c>
      <c r="B48" s="13" t="s">
        <v>162</v>
      </c>
      <c r="C48" s="13" t="s">
        <v>348</v>
      </c>
      <c r="D48" s="13" t="s">
        <v>349</v>
      </c>
      <c r="E48" s="13" t="s">
        <v>92</v>
      </c>
      <c r="F48" s="13" t="s">
        <v>75</v>
      </c>
      <c r="G48" s="13" t="s">
        <v>243</v>
      </c>
      <c r="H48" s="13"/>
      <c r="I48" s="13"/>
      <c r="J48" s="13" t="s">
        <v>350</v>
      </c>
      <c r="K48" s="13" t="s">
        <v>351</v>
      </c>
      <c r="L48" s="13" t="s">
        <v>352</v>
      </c>
      <c r="M48" s="13" t="s">
        <v>80</v>
      </c>
      <c r="N48" s="13" t="s">
        <v>166</v>
      </c>
    </row>
    <row r="49" customFormat="false" ht="15" hidden="false" customHeight="false" outlineLevel="0" collapsed="false">
      <c r="A49" s="13" t="s">
        <v>353</v>
      </c>
      <c r="B49" s="13" t="s">
        <v>162</v>
      </c>
      <c r="C49" s="13" t="s">
        <v>348</v>
      </c>
      <c r="D49" s="13" t="s">
        <v>354</v>
      </c>
      <c r="E49" s="13" t="s">
        <v>92</v>
      </c>
      <c r="F49" s="13" t="s">
        <v>75</v>
      </c>
      <c r="G49" s="13" t="s">
        <v>141</v>
      </c>
      <c r="H49" s="13"/>
      <c r="I49" s="13"/>
      <c r="J49" s="13" t="s">
        <v>355</v>
      </c>
      <c r="K49" s="13" t="s">
        <v>356</v>
      </c>
      <c r="L49" s="13" t="s">
        <v>357</v>
      </c>
      <c r="M49" s="13" t="s">
        <v>184</v>
      </c>
      <c r="N49" s="13" t="s">
        <v>166</v>
      </c>
    </row>
    <row r="50" customFormat="false" ht="15" hidden="false" customHeight="false" outlineLevel="0" collapsed="false">
      <c r="A50" s="13" t="s">
        <v>358</v>
      </c>
      <c r="B50" s="13" t="s">
        <v>162</v>
      </c>
      <c r="C50" s="13" t="s">
        <v>359</v>
      </c>
      <c r="D50" s="13" t="s">
        <v>360</v>
      </c>
      <c r="E50" s="13" t="s">
        <v>92</v>
      </c>
      <c r="F50" s="13" t="s">
        <v>75</v>
      </c>
      <c r="G50" s="13" t="s">
        <v>141</v>
      </c>
      <c r="H50" s="13"/>
      <c r="I50" s="13"/>
      <c r="J50" s="13" t="s">
        <v>361</v>
      </c>
      <c r="K50" s="13" t="s">
        <v>362</v>
      </c>
      <c r="L50" s="13" t="s">
        <v>363</v>
      </c>
      <c r="M50" s="13" t="s">
        <v>184</v>
      </c>
      <c r="N50" s="13" t="s">
        <v>166</v>
      </c>
    </row>
    <row r="51" customFormat="false" ht="15" hidden="false" customHeight="false" outlineLevel="0" collapsed="false">
      <c r="A51" s="13" t="s">
        <v>364</v>
      </c>
      <c r="B51" s="13" t="s">
        <v>162</v>
      </c>
      <c r="C51" s="13" t="s">
        <v>359</v>
      </c>
      <c r="D51" s="13" t="s">
        <v>365</v>
      </c>
      <c r="E51" s="13" t="s">
        <v>74</v>
      </c>
      <c r="F51" s="13" t="s">
        <v>75</v>
      </c>
      <c r="G51" s="13" t="s">
        <v>76</v>
      </c>
      <c r="H51" s="13"/>
      <c r="I51" s="13"/>
      <c r="J51" s="13" t="s">
        <v>366</v>
      </c>
      <c r="K51" s="13" t="s">
        <v>367</v>
      </c>
      <c r="L51" s="13" t="s">
        <v>368</v>
      </c>
      <c r="M51" s="13" t="s">
        <v>80</v>
      </c>
      <c r="N51" s="13" t="s">
        <v>166</v>
      </c>
    </row>
  </sheetData>
  <autoFilter ref="A1:N51"/>
  <dataValidations count="2">
    <dataValidation allowBlank="false" errorStyle="stop" operator="between" showDropDown="false" showErrorMessage="false" showInputMessage="false" sqref="F2:F200" type="list">
      <formula1>"up,down"</formula1>
      <formula2>0</formula2>
    </dataValidation>
    <dataValidation allowBlank="false" errorStyle="stop" operator="between" showDropDown="false" showErrorMessage="false" showInputMessage="false" sqref="G2:G200" type="list">
      <formula1>"sum,avg,last,formula"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30" hidden="false" customHeight="true" outlineLevel="0" collapsed="false">
      <c r="A1" s="11" t="s">
        <v>369</v>
      </c>
      <c r="B1" s="11" t="s">
        <v>370</v>
      </c>
      <c r="C1" s="11" t="s">
        <v>371</v>
      </c>
      <c r="D1" s="11" t="s">
        <v>372</v>
      </c>
    </row>
    <row r="2" customFormat="false" ht="15" hidden="false" customHeight="false" outlineLevel="0" collapsed="false">
      <c r="A2" s="18" t="n">
        <v>46023</v>
      </c>
      <c r="B2" s="12" t="n">
        <f aca="false">WEEKDAY(A2,2)</f>
        <v>4</v>
      </c>
      <c r="C2" s="13" t="n">
        <v>1</v>
      </c>
      <c r="D2" s="19" t="n">
        <f aca="false">C2*1</f>
        <v>1</v>
      </c>
    </row>
    <row r="3" customFormat="false" ht="15" hidden="false" customHeight="false" outlineLevel="0" collapsed="false">
      <c r="A3" s="18" t="n">
        <v>46024</v>
      </c>
      <c r="B3" s="12" t="n">
        <f aca="false">WEEKDAY(A3,2)</f>
        <v>5</v>
      </c>
      <c r="C3" s="13" t="n">
        <v>1</v>
      </c>
      <c r="D3" s="19" t="n">
        <f aca="false">C3*1</f>
        <v>1</v>
      </c>
    </row>
    <row r="4" customFormat="false" ht="15" hidden="false" customHeight="false" outlineLevel="0" collapsed="false">
      <c r="A4" s="18" t="n">
        <v>46025</v>
      </c>
      <c r="B4" s="12" t="n">
        <f aca="false">WEEKDAY(A4,2)</f>
        <v>6</v>
      </c>
      <c r="C4" s="13" t="n">
        <v>0</v>
      </c>
      <c r="D4" s="19" t="n">
        <f aca="false">C4*1</f>
        <v>0</v>
      </c>
    </row>
    <row r="5" customFormat="false" ht="15" hidden="false" customHeight="false" outlineLevel="0" collapsed="false">
      <c r="A5" s="18" t="n">
        <v>46026</v>
      </c>
      <c r="B5" s="12" t="n">
        <f aca="false">WEEKDAY(A5,2)</f>
        <v>7</v>
      </c>
      <c r="C5" s="13" t="n">
        <v>0</v>
      </c>
      <c r="D5" s="19" t="n">
        <f aca="false">C5*1</f>
        <v>0</v>
      </c>
    </row>
    <row r="6" customFormat="false" ht="15" hidden="false" customHeight="false" outlineLevel="0" collapsed="false">
      <c r="A6" s="18" t="n">
        <v>46027</v>
      </c>
      <c r="B6" s="12" t="n">
        <f aca="false">WEEKDAY(A6,2)</f>
        <v>1</v>
      </c>
      <c r="C6" s="13" t="n">
        <v>1</v>
      </c>
      <c r="D6" s="19" t="n">
        <f aca="false">C6*1</f>
        <v>1</v>
      </c>
    </row>
    <row r="7" customFormat="false" ht="15" hidden="false" customHeight="false" outlineLevel="0" collapsed="false">
      <c r="A7" s="18" t="n">
        <v>46028</v>
      </c>
      <c r="B7" s="12" t="n">
        <f aca="false">WEEKDAY(A7,2)</f>
        <v>2</v>
      </c>
      <c r="C7" s="13" t="n">
        <v>1</v>
      </c>
      <c r="D7" s="19" t="n">
        <f aca="false">C7*1</f>
        <v>1</v>
      </c>
    </row>
    <row r="8" customFormat="false" ht="15" hidden="false" customHeight="false" outlineLevel="0" collapsed="false">
      <c r="A8" s="18" t="n">
        <v>46029</v>
      </c>
      <c r="B8" s="12" t="n">
        <f aca="false">WEEKDAY(A8,2)</f>
        <v>3</v>
      </c>
      <c r="C8" s="13" t="n">
        <v>1</v>
      </c>
      <c r="D8" s="19" t="n">
        <f aca="false">C8*1</f>
        <v>1</v>
      </c>
    </row>
    <row r="9" customFormat="false" ht="15" hidden="false" customHeight="false" outlineLevel="0" collapsed="false">
      <c r="A9" s="18" t="n">
        <v>46030</v>
      </c>
      <c r="B9" s="12" t="n">
        <f aca="false">WEEKDAY(A9,2)</f>
        <v>4</v>
      </c>
      <c r="C9" s="13" t="n">
        <v>1</v>
      </c>
      <c r="D9" s="19" t="n">
        <f aca="false">C9*1</f>
        <v>1</v>
      </c>
    </row>
    <row r="10" customFormat="false" ht="15" hidden="false" customHeight="false" outlineLevel="0" collapsed="false">
      <c r="A10" s="18" t="n">
        <v>46031</v>
      </c>
      <c r="B10" s="12" t="n">
        <f aca="false">WEEKDAY(A10,2)</f>
        <v>5</v>
      </c>
      <c r="C10" s="13" t="n">
        <v>1</v>
      </c>
      <c r="D10" s="19" t="n">
        <f aca="false">C10*1</f>
        <v>1</v>
      </c>
    </row>
    <row r="11" customFormat="false" ht="15" hidden="false" customHeight="false" outlineLevel="0" collapsed="false">
      <c r="A11" s="18" t="n">
        <v>46032</v>
      </c>
      <c r="B11" s="12" t="n">
        <f aca="false">WEEKDAY(A11,2)</f>
        <v>6</v>
      </c>
      <c r="C11" s="13" t="n">
        <v>0</v>
      </c>
      <c r="D11" s="19" t="n">
        <f aca="false">C11*1</f>
        <v>0</v>
      </c>
    </row>
    <row r="12" customFormat="false" ht="15" hidden="false" customHeight="false" outlineLevel="0" collapsed="false">
      <c r="A12" s="18" t="n">
        <v>46033</v>
      </c>
      <c r="B12" s="12" t="n">
        <f aca="false">WEEKDAY(A12,2)</f>
        <v>7</v>
      </c>
      <c r="C12" s="13" t="n">
        <v>0</v>
      </c>
      <c r="D12" s="19" t="n">
        <f aca="false">C12*1</f>
        <v>0</v>
      </c>
    </row>
    <row r="13" customFormat="false" ht="15" hidden="false" customHeight="false" outlineLevel="0" collapsed="false">
      <c r="A13" s="18" t="n">
        <v>46034</v>
      </c>
      <c r="B13" s="12" t="n">
        <f aca="false">WEEKDAY(A13,2)</f>
        <v>1</v>
      </c>
      <c r="C13" s="13" t="n">
        <v>1</v>
      </c>
      <c r="D13" s="19" t="n">
        <f aca="false">C13*1</f>
        <v>1</v>
      </c>
    </row>
    <row r="14" customFormat="false" ht="15" hidden="false" customHeight="false" outlineLevel="0" collapsed="false">
      <c r="A14" s="18" t="n">
        <v>46035</v>
      </c>
      <c r="B14" s="12" t="n">
        <f aca="false">WEEKDAY(A14,2)</f>
        <v>2</v>
      </c>
      <c r="C14" s="13" t="n">
        <v>1</v>
      </c>
      <c r="D14" s="19" t="n">
        <f aca="false">C14*1</f>
        <v>1</v>
      </c>
    </row>
    <row r="15" customFormat="false" ht="15" hidden="false" customHeight="false" outlineLevel="0" collapsed="false">
      <c r="A15" s="18" t="n">
        <v>46036</v>
      </c>
      <c r="B15" s="12" t="n">
        <f aca="false">WEEKDAY(A15,2)</f>
        <v>3</v>
      </c>
      <c r="C15" s="13" t="n">
        <v>1</v>
      </c>
      <c r="D15" s="19" t="n">
        <f aca="false">C15*1</f>
        <v>1</v>
      </c>
    </row>
    <row r="16" customFormat="false" ht="15" hidden="false" customHeight="false" outlineLevel="0" collapsed="false">
      <c r="A16" s="18" t="n">
        <v>46037</v>
      </c>
      <c r="B16" s="12" t="n">
        <f aca="false">WEEKDAY(A16,2)</f>
        <v>4</v>
      </c>
      <c r="C16" s="13" t="n">
        <v>1</v>
      </c>
      <c r="D16" s="19" t="n">
        <f aca="false">C16*1</f>
        <v>1</v>
      </c>
    </row>
    <row r="17" customFormat="false" ht="15" hidden="false" customHeight="false" outlineLevel="0" collapsed="false">
      <c r="A17" s="18" t="n">
        <v>46038</v>
      </c>
      <c r="B17" s="12" t="n">
        <f aca="false">WEEKDAY(A17,2)</f>
        <v>5</v>
      </c>
      <c r="C17" s="13" t="n">
        <v>1</v>
      </c>
      <c r="D17" s="19" t="n">
        <f aca="false">C17*1</f>
        <v>1</v>
      </c>
    </row>
    <row r="18" customFormat="false" ht="15" hidden="false" customHeight="false" outlineLevel="0" collapsed="false">
      <c r="A18" s="18" t="n">
        <v>46039</v>
      </c>
      <c r="B18" s="12" t="n">
        <f aca="false">WEEKDAY(A18,2)</f>
        <v>6</v>
      </c>
      <c r="C18" s="13" t="n">
        <v>0</v>
      </c>
      <c r="D18" s="19" t="n">
        <f aca="false">C18*1</f>
        <v>0</v>
      </c>
    </row>
    <row r="19" customFormat="false" ht="15" hidden="false" customHeight="false" outlineLevel="0" collapsed="false">
      <c r="A19" s="18" t="n">
        <v>46040</v>
      </c>
      <c r="B19" s="12" t="n">
        <f aca="false">WEEKDAY(A19,2)</f>
        <v>7</v>
      </c>
      <c r="C19" s="13" t="n">
        <v>0</v>
      </c>
      <c r="D19" s="19" t="n">
        <f aca="false">C19*1</f>
        <v>0</v>
      </c>
    </row>
    <row r="20" customFormat="false" ht="15" hidden="false" customHeight="false" outlineLevel="0" collapsed="false">
      <c r="A20" s="18" t="n">
        <v>46041</v>
      </c>
      <c r="B20" s="12" t="n">
        <f aca="false">WEEKDAY(A20,2)</f>
        <v>1</v>
      </c>
      <c r="C20" s="13" t="n">
        <v>1</v>
      </c>
      <c r="D20" s="19" t="n">
        <f aca="false">C20*1</f>
        <v>1</v>
      </c>
    </row>
    <row r="21" customFormat="false" ht="15" hidden="false" customHeight="false" outlineLevel="0" collapsed="false">
      <c r="A21" s="18" t="n">
        <v>46042</v>
      </c>
      <c r="B21" s="12" t="n">
        <f aca="false">WEEKDAY(A21,2)</f>
        <v>2</v>
      </c>
      <c r="C21" s="13" t="n">
        <v>1</v>
      </c>
      <c r="D21" s="19" t="n">
        <f aca="false">C21*1</f>
        <v>1</v>
      </c>
    </row>
    <row r="22" customFormat="false" ht="15" hidden="false" customHeight="false" outlineLevel="0" collapsed="false">
      <c r="A22" s="18" t="n">
        <v>46043</v>
      </c>
      <c r="B22" s="12" t="n">
        <f aca="false">WEEKDAY(A22,2)</f>
        <v>3</v>
      </c>
      <c r="C22" s="13" t="n">
        <v>1</v>
      </c>
      <c r="D22" s="19" t="n">
        <f aca="false">C22*1</f>
        <v>1</v>
      </c>
    </row>
    <row r="23" customFormat="false" ht="15" hidden="false" customHeight="false" outlineLevel="0" collapsed="false">
      <c r="A23" s="18" t="n">
        <v>46044</v>
      </c>
      <c r="B23" s="12" t="n">
        <f aca="false">WEEKDAY(A23,2)</f>
        <v>4</v>
      </c>
      <c r="C23" s="13" t="n">
        <v>1</v>
      </c>
      <c r="D23" s="19" t="n">
        <f aca="false">C23*1</f>
        <v>1</v>
      </c>
    </row>
    <row r="24" customFormat="false" ht="15" hidden="false" customHeight="false" outlineLevel="0" collapsed="false">
      <c r="A24" s="18" t="n">
        <v>46045</v>
      </c>
      <c r="B24" s="12" t="n">
        <f aca="false">WEEKDAY(A24,2)</f>
        <v>5</v>
      </c>
      <c r="C24" s="13" t="n">
        <v>1</v>
      </c>
      <c r="D24" s="19" t="n">
        <f aca="false">C24*1</f>
        <v>1</v>
      </c>
    </row>
    <row r="25" customFormat="false" ht="15" hidden="false" customHeight="false" outlineLevel="0" collapsed="false">
      <c r="A25" s="18" t="n">
        <v>46046</v>
      </c>
      <c r="B25" s="12" t="n">
        <f aca="false">WEEKDAY(A25,2)</f>
        <v>6</v>
      </c>
      <c r="C25" s="13" t="n">
        <v>0</v>
      </c>
      <c r="D25" s="19" t="n">
        <f aca="false">C25*1</f>
        <v>0</v>
      </c>
    </row>
    <row r="26" customFormat="false" ht="15" hidden="false" customHeight="false" outlineLevel="0" collapsed="false">
      <c r="A26" s="18" t="n">
        <v>46047</v>
      </c>
      <c r="B26" s="12" t="n">
        <f aca="false">WEEKDAY(A26,2)</f>
        <v>7</v>
      </c>
      <c r="C26" s="13" t="n">
        <v>0</v>
      </c>
      <c r="D26" s="19" t="n">
        <f aca="false">C26*1</f>
        <v>0</v>
      </c>
    </row>
    <row r="27" customFormat="false" ht="15" hidden="false" customHeight="false" outlineLevel="0" collapsed="false">
      <c r="A27" s="18" t="n">
        <v>46048</v>
      </c>
      <c r="B27" s="12" t="n">
        <f aca="false">WEEKDAY(A27,2)</f>
        <v>1</v>
      </c>
      <c r="C27" s="13" t="n">
        <v>1</v>
      </c>
      <c r="D27" s="19" t="n">
        <f aca="false">C27*1</f>
        <v>1</v>
      </c>
    </row>
    <row r="28" customFormat="false" ht="15" hidden="false" customHeight="false" outlineLevel="0" collapsed="false">
      <c r="A28" s="18" t="n">
        <v>46049</v>
      </c>
      <c r="B28" s="12" t="n">
        <f aca="false">WEEKDAY(A28,2)</f>
        <v>2</v>
      </c>
      <c r="C28" s="13" t="n">
        <v>1</v>
      </c>
      <c r="D28" s="19" t="n">
        <f aca="false">C28*1</f>
        <v>1</v>
      </c>
    </row>
    <row r="29" customFormat="false" ht="15" hidden="false" customHeight="false" outlineLevel="0" collapsed="false">
      <c r="A29" s="18" t="n">
        <v>46050</v>
      </c>
      <c r="B29" s="12" t="n">
        <f aca="false">WEEKDAY(A29,2)</f>
        <v>3</v>
      </c>
      <c r="C29" s="13" t="n">
        <v>1</v>
      </c>
      <c r="D29" s="19" t="n">
        <f aca="false">C29*1</f>
        <v>1</v>
      </c>
    </row>
    <row r="30" customFormat="false" ht="15" hidden="false" customHeight="false" outlineLevel="0" collapsed="false">
      <c r="A30" s="18" t="n">
        <v>46051</v>
      </c>
      <c r="B30" s="12" t="n">
        <f aca="false">WEEKDAY(A30,2)</f>
        <v>4</v>
      </c>
      <c r="C30" s="13" t="n">
        <v>1</v>
      </c>
      <c r="D30" s="19" t="n">
        <f aca="false">C30*1</f>
        <v>1</v>
      </c>
    </row>
    <row r="31" customFormat="false" ht="15" hidden="false" customHeight="false" outlineLevel="0" collapsed="false">
      <c r="A31" s="18" t="n">
        <v>46052</v>
      </c>
      <c r="B31" s="12" t="n">
        <f aca="false">WEEKDAY(A31,2)</f>
        <v>5</v>
      </c>
      <c r="C31" s="13" t="n">
        <v>1</v>
      </c>
      <c r="D31" s="19" t="n">
        <f aca="false">C31*1</f>
        <v>1</v>
      </c>
    </row>
    <row r="32" customFormat="false" ht="15" hidden="false" customHeight="false" outlineLevel="0" collapsed="false">
      <c r="A32" s="18" t="n">
        <v>46053</v>
      </c>
      <c r="B32" s="12" t="n">
        <f aca="false">WEEKDAY(A32,2)</f>
        <v>6</v>
      </c>
      <c r="C32" s="13" t="n">
        <v>0</v>
      </c>
      <c r="D32" s="19" t="n">
        <f aca="false">C32*1</f>
        <v>0</v>
      </c>
    </row>
    <row r="33" customFormat="false" ht="15" hidden="false" customHeight="false" outlineLevel="0" collapsed="false">
      <c r="A33" s="18" t="n">
        <v>46054</v>
      </c>
      <c r="B33" s="12" t="n">
        <f aca="false">WEEKDAY(A33,2)</f>
        <v>7</v>
      </c>
      <c r="C33" s="13" t="n">
        <v>0</v>
      </c>
      <c r="D33" s="19" t="n">
        <f aca="false">C33*1</f>
        <v>0</v>
      </c>
    </row>
    <row r="34" customFormat="false" ht="15" hidden="false" customHeight="false" outlineLevel="0" collapsed="false">
      <c r="A34" s="18" t="n">
        <v>46055</v>
      </c>
      <c r="B34" s="12" t="n">
        <f aca="false">WEEKDAY(A34,2)</f>
        <v>1</v>
      </c>
      <c r="C34" s="13" t="n">
        <v>1</v>
      </c>
      <c r="D34" s="19" t="n">
        <f aca="false">C34*1</f>
        <v>1</v>
      </c>
    </row>
    <row r="35" customFormat="false" ht="15" hidden="false" customHeight="false" outlineLevel="0" collapsed="false">
      <c r="A35" s="18" t="n">
        <v>46056</v>
      </c>
      <c r="B35" s="12" t="n">
        <f aca="false">WEEKDAY(A35,2)</f>
        <v>2</v>
      </c>
      <c r="C35" s="13" t="n">
        <v>1</v>
      </c>
      <c r="D35" s="19" t="n">
        <f aca="false">C35*1</f>
        <v>1</v>
      </c>
    </row>
    <row r="36" customFormat="false" ht="15" hidden="false" customHeight="false" outlineLevel="0" collapsed="false">
      <c r="A36" s="18" t="n">
        <v>46057</v>
      </c>
      <c r="B36" s="12" t="n">
        <f aca="false">WEEKDAY(A36,2)</f>
        <v>3</v>
      </c>
      <c r="C36" s="13" t="n">
        <v>1</v>
      </c>
      <c r="D36" s="19" t="n">
        <f aca="false">C36*1</f>
        <v>1</v>
      </c>
    </row>
    <row r="37" customFormat="false" ht="15" hidden="false" customHeight="false" outlineLevel="0" collapsed="false">
      <c r="A37" s="18" t="n">
        <v>46058</v>
      </c>
      <c r="B37" s="12" t="n">
        <f aca="false">WEEKDAY(A37,2)</f>
        <v>4</v>
      </c>
      <c r="C37" s="13" t="n">
        <v>1</v>
      </c>
      <c r="D37" s="19" t="n">
        <f aca="false">C37*1</f>
        <v>1</v>
      </c>
    </row>
    <row r="38" customFormat="false" ht="15" hidden="false" customHeight="false" outlineLevel="0" collapsed="false">
      <c r="A38" s="18" t="n">
        <v>46059</v>
      </c>
      <c r="B38" s="12" t="n">
        <f aca="false">WEEKDAY(A38,2)</f>
        <v>5</v>
      </c>
      <c r="C38" s="13" t="n">
        <v>1</v>
      </c>
      <c r="D38" s="19" t="n">
        <f aca="false">C38*1</f>
        <v>1</v>
      </c>
    </row>
    <row r="39" customFormat="false" ht="15" hidden="false" customHeight="false" outlineLevel="0" collapsed="false">
      <c r="A39" s="18" t="n">
        <v>46060</v>
      </c>
      <c r="B39" s="12" t="n">
        <f aca="false">WEEKDAY(A39,2)</f>
        <v>6</v>
      </c>
      <c r="C39" s="13" t="n">
        <v>0</v>
      </c>
      <c r="D39" s="19" t="n">
        <f aca="false">C39*1</f>
        <v>0</v>
      </c>
    </row>
    <row r="40" customFormat="false" ht="15" hidden="false" customHeight="false" outlineLevel="0" collapsed="false">
      <c r="A40" s="18" t="n">
        <v>46061</v>
      </c>
      <c r="B40" s="12" t="n">
        <f aca="false">WEEKDAY(A40,2)</f>
        <v>7</v>
      </c>
      <c r="C40" s="13" t="n">
        <v>0</v>
      </c>
      <c r="D40" s="19" t="n">
        <f aca="false">C40*1</f>
        <v>0</v>
      </c>
    </row>
    <row r="41" customFormat="false" ht="15" hidden="false" customHeight="false" outlineLevel="0" collapsed="false">
      <c r="A41" s="18" t="n">
        <v>46062</v>
      </c>
      <c r="B41" s="12" t="n">
        <f aca="false">WEEKDAY(A41,2)</f>
        <v>1</v>
      </c>
      <c r="C41" s="13" t="n">
        <v>1</v>
      </c>
      <c r="D41" s="19" t="n">
        <f aca="false">C41*1</f>
        <v>1</v>
      </c>
    </row>
    <row r="42" customFormat="false" ht="15" hidden="false" customHeight="false" outlineLevel="0" collapsed="false">
      <c r="A42" s="18" t="n">
        <v>46063</v>
      </c>
      <c r="B42" s="12" t="n">
        <f aca="false">WEEKDAY(A42,2)</f>
        <v>2</v>
      </c>
      <c r="C42" s="13" t="n">
        <v>1</v>
      </c>
      <c r="D42" s="19" t="n">
        <f aca="false">C42*1</f>
        <v>1</v>
      </c>
    </row>
    <row r="43" customFormat="false" ht="15" hidden="false" customHeight="false" outlineLevel="0" collapsed="false">
      <c r="A43" s="18" t="n">
        <v>46064</v>
      </c>
      <c r="B43" s="12" t="n">
        <f aca="false">WEEKDAY(A43,2)</f>
        <v>3</v>
      </c>
      <c r="C43" s="13" t="n">
        <v>1</v>
      </c>
      <c r="D43" s="19" t="n">
        <f aca="false">C43*1</f>
        <v>1</v>
      </c>
    </row>
    <row r="44" customFormat="false" ht="15" hidden="false" customHeight="false" outlineLevel="0" collapsed="false">
      <c r="A44" s="18" t="n">
        <v>46065</v>
      </c>
      <c r="B44" s="12" t="n">
        <f aca="false">WEEKDAY(A44,2)</f>
        <v>4</v>
      </c>
      <c r="C44" s="13" t="n">
        <v>1</v>
      </c>
      <c r="D44" s="19" t="n">
        <f aca="false">C44*1</f>
        <v>1</v>
      </c>
    </row>
    <row r="45" customFormat="false" ht="15" hidden="false" customHeight="false" outlineLevel="0" collapsed="false">
      <c r="A45" s="18" t="n">
        <v>46066</v>
      </c>
      <c r="B45" s="12" t="n">
        <f aca="false">WEEKDAY(A45,2)</f>
        <v>5</v>
      </c>
      <c r="C45" s="13" t="n">
        <v>1</v>
      </c>
      <c r="D45" s="19" t="n">
        <f aca="false">C45*1</f>
        <v>1</v>
      </c>
    </row>
    <row r="46" customFormat="false" ht="15" hidden="false" customHeight="false" outlineLevel="0" collapsed="false">
      <c r="A46" s="18" t="n">
        <v>46067</v>
      </c>
      <c r="B46" s="12" t="n">
        <f aca="false">WEEKDAY(A46,2)</f>
        <v>6</v>
      </c>
      <c r="C46" s="13" t="n">
        <v>0</v>
      </c>
      <c r="D46" s="19" t="n">
        <f aca="false">C46*1</f>
        <v>0</v>
      </c>
    </row>
    <row r="47" customFormat="false" ht="15" hidden="false" customHeight="false" outlineLevel="0" collapsed="false">
      <c r="A47" s="18" t="n">
        <v>46068</v>
      </c>
      <c r="B47" s="12" t="n">
        <f aca="false">WEEKDAY(A47,2)</f>
        <v>7</v>
      </c>
      <c r="C47" s="13" t="n">
        <v>0</v>
      </c>
      <c r="D47" s="19" t="n">
        <f aca="false">C47*1</f>
        <v>0</v>
      </c>
    </row>
    <row r="48" customFormat="false" ht="15" hidden="false" customHeight="false" outlineLevel="0" collapsed="false">
      <c r="A48" s="18" t="n">
        <v>46069</v>
      </c>
      <c r="B48" s="12" t="n">
        <f aca="false">WEEKDAY(A48,2)</f>
        <v>1</v>
      </c>
      <c r="C48" s="13" t="n">
        <v>1</v>
      </c>
      <c r="D48" s="19" t="n">
        <f aca="false">C48*1</f>
        <v>1</v>
      </c>
    </row>
    <row r="49" customFormat="false" ht="15" hidden="false" customHeight="false" outlineLevel="0" collapsed="false">
      <c r="A49" s="18" t="n">
        <v>46070</v>
      </c>
      <c r="B49" s="12" t="n">
        <f aca="false">WEEKDAY(A49,2)</f>
        <v>2</v>
      </c>
      <c r="C49" s="13" t="n">
        <v>1</v>
      </c>
      <c r="D49" s="19" t="n">
        <f aca="false">C49*1</f>
        <v>1</v>
      </c>
    </row>
    <row r="50" customFormat="false" ht="15" hidden="false" customHeight="false" outlineLevel="0" collapsed="false">
      <c r="A50" s="18" t="n">
        <v>46071</v>
      </c>
      <c r="B50" s="12" t="n">
        <f aca="false">WEEKDAY(A50,2)</f>
        <v>3</v>
      </c>
      <c r="C50" s="13" t="n">
        <v>1</v>
      </c>
      <c r="D50" s="19" t="n">
        <f aca="false">C50*1</f>
        <v>1</v>
      </c>
    </row>
    <row r="51" customFormat="false" ht="15" hidden="false" customHeight="false" outlineLevel="0" collapsed="false">
      <c r="A51" s="18" t="n">
        <v>46072</v>
      </c>
      <c r="B51" s="12" t="n">
        <f aca="false">WEEKDAY(A51,2)</f>
        <v>4</v>
      </c>
      <c r="C51" s="13" t="n">
        <v>1</v>
      </c>
      <c r="D51" s="19" t="n">
        <f aca="false">C51*1</f>
        <v>1</v>
      </c>
    </row>
    <row r="52" customFormat="false" ht="15" hidden="false" customHeight="false" outlineLevel="0" collapsed="false">
      <c r="A52" s="18" t="n">
        <v>46073</v>
      </c>
      <c r="B52" s="12" t="n">
        <f aca="false">WEEKDAY(A52,2)</f>
        <v>5</v>
      </c>
      <c r="C52" s="13" t="n">
        <v>1</v>
      </c>
      <c r="D52" s="19" t="n">
        <f aca="false">C52*1</f>
        <v>1</v>
      </c>
    </row>
    <row r="53" customFormat="false" ht="15" hidden="false" customHeight="false" outlineLevel="0" collapsed="false">
      <c r="A53" s="18" t="n">
        <v>46074</v>
      </c>
      <c r="B53" s="12" t="n">
        <f aca="false">WEEKDAY(A53,2)</f>
        <v>6</v>
      </c>
      <c r="C53" s="13" t="n">
        <v>0</v>
      </c>
      <c r="D53" s="19" t="n">
        <f aca="false">C53*1</f>
        <v>0</v>
      </c>
    </row>
    <row r="54" customFormat="false" ht="15" hidden="false" customHeight="false" outlineLevel="0" collapsed="false">
      <c r="A54" s="18" t="n">
        <v>46075</v>
      </c>
      <c r="B54" s="12" t="n">
        <f aca="false">WEEKDAY(A54,2)</f>
        <v>7</v>
      </c>
      <c r="C54" s="13" t="n">
        <v>0</v>
      </c>
      <c r="D54" s="19" t="n">
        <f aca="false">C54*1</f>
        <v>0</v>
      </c>
    </row>
    <row r="55" customFormat="false" ht="15" hidden="false" customHeight="false" outlineLevel="0" collapsed="false">
      <c r="A55" s="18" t="n">
        <v>46076</v>
      </c>
      <c r="B55" s="12" t="n">
        <f aca="false">WEEKDAY(A55,2)</f>
        <v>1</v>
      </c>
      <c r="C55" s="13" t="n">
        <v>1</v>
      </c>
      <c r="D55" s="19" t="n">
        <f aca="false">C55*1</f>
        <v>1</v>
      </c>
    </row>
    <row r="56" customFormat="false" ht="15" hidden="false" customHeight="false" outlineLevel="0" collapsed="false">
      <c r="A56" s="18" t="n">
        <v>46077</v>
      </c>
      <c r="B56" s="12" t="n">
        <f aca="false">WEEKDAY(A56,2)</f>
        <v>2</v>
      </c>
      <c r="C56" s="13" t="n">
        <v>1</v>
      </c>
      <c r="D56" s="19" t="n">
        <f aca="false">C56*1</f>
        <v>1</v>
      </c>
    </row>
    <row r="57" customFormat="false" ht="15" hidden="false" customHeight="false" outlineLevel="0" collapsed="false">
      <c r="A57" s="18" t="n">
        <v>46078</v>
      </c>
      <c r="B57" s="12" t="n">
        <f aca="false">WEEKDAY(A57,2)</f>
        <v>3</v>
      </c>
      <c r="C57" s="13" t="n">
        <v>1</v>
      </c>
      <c r="D57" s="19" t="n">
        <f aca="false">C57*1</f>
        <v>1</v>
      </c>
    </row>
    <row r="58" customFormat="false" ht="15" hidden="false" customHeight="false" outlineLevel="0" collapsed="false">
      <c r="A58" s="18" t="n">
        <v>46079</v>
      </c>
      <c r="B58" s="12" t="n">
        <f aca="false">WEEKDAY(A58,2)</f>
        <v>4</v>
      </c>
      <c r="C58" s="13" t="n">
        <v>1</v>
      </c>
      <c r="D58" s="19" t="n">
        <f aca="false">C58*1</f>
        <v>1</v>
      </c>
    </row>
    <row r="59" customFormat="false" ht="15" hidden="false" customHeight="false" outlineLevel="0" collapsed="false">
      <c r="A59" s="18" t="n">
        <v>46080</v>
      </c>
      <c r="B59" s="12" t="n">
        <f aca="false">WEEKDAY(A59,2)</f>
        <v>5</v>
      </c>
      <c r="C59" s="13" t="n">
        <v>1</v>
      </c>
      <c r="D59" s="19" t="n">
        <f aca="false">C59*1</f>
        <v>1</v>
      </c>
    </row>
    <row r="60" customFormat="false" ht="15" hidden="false" customHeight="false" outlineLevel="0" collapsed="false">
      <c r="A60" s="18" t="n">
        <v>46081</v>
      </c>
      <c r="B60" s="12" t="n">
        <f aca="false">WEEKDAY(A60,2)</f>
        <v>6</v>
      </c>
      <c r="C60" s="13" t="n">
        <v>0</v>
      </c>
      <c r="D60" s="19" t="n">
        <f aca="false">C60*1</f>
        <v>0</v>
      </c>
    </row>
    <row r="61" customFormat="false" ht="15" hidden="false" customHeight="false" outlineLevel="0" collapsed="false">
      <c r="A61" s="18" t="n">
        <v>46082</v>
      </c>
      <c r="B61" s="12" t="n">
        <f aca="false">WEEKDAY(A61,2)</f>
        <v>7</v>
      </c>
      <c r="C61" s="13" t="n">
        <v>0</v>
      </c>
      <c r="D61" s="19" t="n">
        <f aca="false">C61*1</f>
        <v>0</v>
      </c>
    </row>
    <row r="62" customFormat="false" ht="15" hidden="false" customHeight="false" outlineLevel="0" collapsed="false">
      <c r="A62" s="18" t="n">
        <v>46083</v>
      </c>
      <c r="B62" s="12" t="n">
        <f aca="false">WEEKDAY(A62,2)</f>
        <v>1</v>
      </c>
      <c r="C62" s="13" t="n">
        <v>1</v>
      </c>
      <c r="D62" s="19" t="n">
        <f aca="false">C62*1</f>
        <v>1</v>
      </c>
    </row>
    <row r="63" customFormat="false" ht="15" hidden="false" customHeight="false" outlineLevel="0" collapsed="false">
      <c r="A63" s="18" t="n">
        <v>46084</v>
      </c>
      <c r="B63" s="12" t="n">
        <f aca="false">WEEKDAY(A63,2)</f>
        <v>2</v>
      </c>
      <c r="C63" s="13" t="n">
        <v>1</v>
      </c>
      <c r="D63" s="19" t="n">
        <f aca="false">C63*1</f>
        <v>1</v>
      </c>
    </row>
    <row r="64" customFormat="false" ht="15" hidden="false" customHeight="false" outlineLevel="0" collapsed="false">
      <c r="A64" s="18" t="n">
        <v>46085</v>
      </c>
      <c r="B64" s="12" t="n">
        <f aca="false">WEEKDAY(A64,2)</f>
        <v>3</v>
      </c>
      <c r="C64" s="13" t="n">
        <v>1</v>
      </c>
      <c r="D64" s="19" t="n">
        <f aca="false">C64*1</f>
        <v>1</v>
      </c>
    </row>
    <row r="65" customFormat="false" ht="15" hidden="false" customHeight="false" outlineLevel="0" collapsed="false">
      <c r="A65" s="18" t="n">
        <v>46086</v>
      </c>
      <c r="B65" s="12" t="n">
        <f aca="false">WEEKDAY(A65,2)</f>
        <v>4</v>
      </c>
      <c r="C65" s="13" t="n">
        <v>1</v>
      </c>
      <c r="D65" s="19" t="n">
        <f aca="false">C65*1</f>
        <v>1</v>
      </c>
    </row>
    <row r="66" customFormat="false" ht="15" hidden="false" customHeight="false" outlineLevel="0" collapsed="false">
      <c r="A66" s="18" t="n">
        <v>46087</v>
      </c>
      <c r="B66" s="12" t="n">
        <f aca="false">WEEKDAY(A66,2)</f>
        <v>5</v>
      </c>
      <c r="C66" s="13" t="n">
        <v>1</v>
      </c>
      <c r="D66" s="19" t="n">
        <f aca="false">C66*1</f>
        <v>1</v>
      </c>
    </row>
    <row r="67" customFormat="false" ht="15" hidden="false" customHeight="false" outlineLevel="0" collapsed="false">
      <c r="A67" s="18" t="n">
        <v>46088</v>
      </c>
      <c r="B67" s="12" t="n">
        <f aca="false">WEEKDAY(A67,2)</f>
        <v>6</v>
      </c>
      <c r="C67" s="13" t="n">
        <v>0</v>
      </c>
      <c r="D67" s="19" t="n">
        <f aca="false">C67*1</f>
        <v>0</v>
      </c>
    </row>
    <row r="68" customFormat="false" ht="15" hidden="false" customHeight="false" outlineLevel="0" collapsed="false">
      <c r="A68" s="18" t="n">
        <v>46089</v>
      </c>
      <c r="B68" s="12" t="n">
        <f aca="false">WEEKDAY(A68,2)</f>
        <v>7</v>
      </c>
      <c r="C68" s="13" t="n">
        <v>0</v>
      </c>
      <c r="D68" s="19" t="n">
        <f aca="false">C68*1</f>
        <v>0</v>
      </c>
    </row>
    <row r="69" customFormat="false" ht="15" hidden="false" customHeight="false" outlineLevel="0" collapsed="false">
      <c r="A69" s="18" t="n">
        <v>46090</v>
      </c>
      <c r="B69" s="12" t="n">
        <f aca="false">WEEKDAY(A69,2)</f>
        <v>1</v>
      </c>
      <c r="C69" s="13" t="n">
        <v>1</v>
      </c>
      <c r="D69" s="19" t="n">
        <f aca="false">C69*1</f>
        <v>1</v>
      </c>
    </row>
    <row r="70" customFormat="false" ht="15" hidden="false" customHeight="false" outlineLevel="0" collapsed="false">
      <c r="A70" s="18" t="n">
        <v>46091</v>
      </c>
      <c r="B70" s="12" t="n">
        <f aca="false">WEEKDAY(A70,2)</f>
        <v>2</v>
      </c>
      <c r="C70" s="13" t="n">
        <v>1</v>
      </c>
      <c r="D70" s="19" t="n">
        <f aca="false">C70*1</f>
        <v>1</v>
      </c>
    </row>
    <row r="71" customFormat="false" ht="15" hidden="false" customHeight="false" outlineLevel="0" collapsed="false">
      <c r="A71" s="18" t="n">
        <v>46092</v>
      </c>
      <c r="B71" s="12" t="n">
        <f aca="false">WEEKDAY(A71,2)</f>
        <v>3</v>
      </c>
      <c r="C71" s="13" t="n">
        <v>1</v>
      </c>
      <c r="D71" s="19" t="n">
        <f aca="false">C71*1</f>
        <v>1</v>
      </c>
    </row>
    <row r="72" customFormat="false" ht="15" hidden="false" customHeight="false" outlineLevel="0" collapsed="false">
      <c r="A72" s="18" t="n">
        <v>46093</v>
      </c>
      <c r="B72" s="12" t="n">
        <f aca="false">WEEKDAY(A72,2)</f>
        <v>4</v>
      </c>
      <c r="C72" s="13" t="n">
        <v>1</v>
      </c>
      <c r="D72" s="19" t="n">
        <f aca="false">C72*1</f>
        <v>1</v>
      </c>
    </row>
    <row r="73" customFormat="false" ht="15" hidden="false" customHeight="false" outlineLevel="0" collapsed="false">
      <c r="A73" s="18" t="n">
        <v>46094</v>
      </c>
      <c r="B73" s="12" t="n">
        <f aca="false">WEEKDAY(A73,2)</f>
        <v>5</v>
      </c>
      <c r="C73" s="13" t="n">
        <v>1</v>
      </c>
      <c r="D73" s="19" t="n">
        <f aca="false">C73*1</f>
        <v>1</v>
      </c>
    </row>
    <row r="74" customFormat="false" ht="15" hidden="false" customHeight="false" outlineLevel="0" collapsed="false">
      <c r="A74" s="18" t="n">
        <v>46095</v>
      </c>
      <c r="B74" s="12" t="n">
        <f aca="false">WEEKDAY(A74,2)</f>
        <v>6</v>
      </c>
      <c r="C74" s="13" t="n">
        <v>0</v>
      </c>
      <c r="D74" s="19" t="n">
        <f aca="false">C74*1</f>
        <v>0</v>
      </c>
    </row>
    <row r="75" customFormat="false" ht="15" hidden="false" customHeight="false" outlineLevel="0" collapsed="false">
      <c r="A75" s="18" t="n">
        <v>46096</v>
      </c>
      <c r="B75" s="12" t="n">
        <f aca="false">WEEKDAY(A75,2)</f>
        <v>7</v>
      </c>
      <c r="C75" s="13" t="n">
        <v>0</v>
      </c>
      <c r="D75" s="19" t="n">
        <f aca="false">C75*1</f>
        <v>0</v>
      </c>
    </row>
    <row r="76" customFormat="false" ht="15" hidden="false" customHeight="false" outlineLevel="0" collapsed="false">
      <c r="A76" s="18" t="n">
        <v>46097</v>
      </c>
      <c r="B76" s="12" t="n">
        <f aca="false">WEEKDAY(A76,2)</f>
        <v>1</v>
      </c>
      <c r="C76" s="13" t="n">
        <v>1</v>
      </c>
      <c r="D76" s="19" t="n">
        <f aca="false">C76*1</f>
        <v>1</v>
      </c>
    </row>
    <row r="77" customFormat="false" ht="15" hidden="false" customHeight="false" outlineLevel="0" collapsed="false">
      <c r="A77" s="18" t="n">
        <v>46098</v>
      </c>
      <c r="B77" s="12" t="n">
        <f aca="false">WEEKDAY(A77,2)</f>
        <v>2</v>
      </c>
      <c r="C77" s="13" t="n">
        <v>1</v>
      </c>
      <c r="D77" s="19" t="n">
        <f aca="false">C77*1</f>
        <v>1</v>
      </c>
    </row>
    <row r="78" customFormat="false" ht="15" hidden="false" customHeight="false" outlineLevel="0" collapsed="false">
      <c r="A78" s="18" t="n">
        <v>46099</v>
      </c>
      <c r="B78" s="12" t="n">
        <f aca="false">WEEKDAY(A78,2)</f>
        <v>3</v>
      </c>
      <c r="C78" s="13" t="n">
        <v>1</v>
      </c>
      <c r="D78" s="19" t="n">
        <f aca="false">C78*1</f>
        <v>1</v>
      </c>
    </row>
    <row r="79" customFormat="false" ht="15" hidden="false" customHeight="false" outlineLevel="0" collapsed="false">
      <c r="A79" s="18" t="n">
        <v>46100</v>
      </c>
      <c r="B79" s="12" t="n">
        <f aca="false">WEEKDAY(A79,2)</f>
        <v>4</v>
      </c>
      <c r="C79" s="13" t="n">
        <v>1</v>
      </c>
      <c r="D79" s="19" t="n">
        <f aca="false">C79*1</f>
        <v>1</v>
      </c>
    </row>
    <row r="80" customFormat="false" ht="15" hidden="false" customHeight="false" outlineLevel="0" collapsed="false">
      <c r="A80" s="18" t="n">
        <v>46101</v>
      </c>
      <c r="B80" s="12" t="n">
        <f aca="false">WEEKDAY(A80,2)</f>
        <v>5</v>
      </c>
      <c r="C80" s="13" t="n">
        <v>1</v>
      </c>
      <c r="D80" s="19" t="n">
        <f aca="false">C80*1</f>
        <v>1</v>
      </c>
    </row>
    <row r="81" customFormat="false" ht="15" hidden="false" customHeight="false" outlineLevel="0" collapsed="false">
      <c r="A81" s="18" t="n">
        <v>46102</v>
      </c>
      <c r="B81" s="12" t="n">
        <f aca="false">WEEKDAY(A81,2)</f>
        <v>6</v>
      </c>
      <c r="C81" s="13" t="n">
        <v>0</v>
      </c>
      <c r="D81" s="19" t="n">
        <f aca="false">C81*1</f>
        <v>0</v>
      </c>
    </row>
    <row r="82" customFormat="false" ht="15" hidden="false" customHeight="false" outlineLevel="0" collapsed="false">
      <c r="A82" s="18" t="n">
        <v>46103</v>
      </c>
      <c r="B82" s="12" t="n">
        <f aca="false">WEEKDAY(A82,2)</f>
        <v>7</v>
      </c>
      <c r="C82" s="13" t="n">
        <v>0</v>
      </c>
      <c r="D82" s="19" t="n">
        <f aca="false">C82*1</f>
        <v>0</v>
      </c>
    </row>
    <row r="83" customFormat="false" ht="15" hidden="false" customHeight="false" outlineLevel="0" collapsed="false">
      <c r="A83" s="18" t="n">
        <v>46104</v>
      </c>
      <c r="B83" s="12" t="n">
        <f aca="false">WEEKDAY(A83,2)</f>
        <v>1</v>
      </c>
      <c r="C83" s="13" t="n">
        <v>1</v>
      </c>
      <c r="D83" s="19" t="n">
        <f aca="false">C83*1</f>
        <v>1</v>
      </c>
    </row>
    <row r="84" customFormat="false" ht="15" hidden="false" customHeight="false" outlineLevel="0" collapsed="false">
      <c r="A84" s="18" t="n">
        <v>46105</v>
      </c>
      <c r="B84" s="12" t="n">
        <f aca="false">WEEKDAY(A84,2)</f>
        <v>2</v>
      </c>
      <c r="C84" s="13" t="n">
        <v>1</v>
      </c>
      <c r="D84" s="19" t="n">
        <f aca="false">C84*1</f>
        <v>1</v>
      </c>
    </row>
    <row r="85" customFormat="false" ht="15" hidden="false" customHeight="false" outlineLevel="0" collapsed="false">
      <c r="A85" s="18" t="n">
        <v>46106</v>
      </c>
      <c r="B85" s="12" t="n">
        <f aca="false">WEEKDAY(A85,2)</f>
        <v>3</v>
      </c>
      <c r="C85" s="13" t="n">
        <v>1</v>
      </c>
      <c r="D85" s="19" t="n">
        <f aca="false">C85*1</f>
        <v>1</v>
      </c>
    </row>
    <row r="86" customFormat="false" ht="15" hidden="false" customHeight="false" outlineLevel="0" collapsed="false">
      <c r="A86" s="18" t="n">
        <v>46107</v>
      </c>
      <c r="B86" s="12" t="n">
        <f aca="false">WEEKDAY(A86,2)</f>
        <v>4</v>
      </c>
      <c r="C86" s="13" t="n">
        <v>1</v>
      </c>
      <c r="D86" s="19" t="n">
        <f aca="false">C86*1</f>
        <v>1</v>
      </c>
    </row>
    <row r="87" customFormat="false" ht="15" hidden="false" customHeight="false" outlineLevel="0" collapsed="false">
      <c r="A87" s="18" t="n">
        <v>46108</v>
      </c>
      <c r="B87" s="12" t="n">
        <f aca="false">WEEKDAY(A87,2)</f>
        <v>5</v>
      </c>
      <c r="C87" s="13" t="n">
        <v>1</v>
      </c>
      <c r="D87" s="19" t="n">
        <f aca="false">C87*1</f>
        <v>1</v>
      </c>
    </row>
    <row r="88" customFormat="false" ht="15" hidden="false" customHeight="false" outlineLevel="0" collapsed="false">
      <c r="A88" s="18" t="n">
        <v>46109</v>
      </c>
      <c r="B88" s="12" t="n">
        <f aca="false">WEEKDAY(A88,2)</f>
        <v>6</v>
      </c>
      <c r="C88" s="13" t="n">
        <v>0</v>
      </c>
      <c r="D88" s="19" t="n">
        <f aca="false">C88*1</f>
        <v>0</v>
      </c>
    </row>
    <row r="89" customFormat="false" ht="15" hidden="false" customHeight="false" outlineLevel="0" collapsed="false">
      <c r="A89" s="18" t="n">
        <v>46110</v>
      </c>
      <c r="B89" s="12" t="n">
        <f aca="false">WEEKDAY(A89,2)</f>
        <v>7</v>
      </c>
      <c r="C89" s="13" t="n">
        <v>0</v>
      </c>
      <c r="D89" s="19" t="n">
        <f aca="false">C89*1</f>
        <v>0</v>
      </c>
    </row>
    <row r="90" customFormat="false" ht="15" hidden="false" customHeight="false" outlineLevel="0" collapsed="false">
      <c r="A90" s="18" t="n">
        <v>46111</v>
      </c>
      <c r="B90" s="12" t="n">
        <f aca="false">WEEKDAY(A90,2)</f>
        <v>1</v>
      </c>
      <c r="C90" s="13" t="n">
        <v>1</v>
      </c>
      <c r="D90" s="19" t="n">
        <f aca="false">C90*1</f>
        <v>1</v>
      </c>
    </row>
    <row r="91" customFormat="false" ht="15" hidden="false" customHeight="false" outlineLevel="0" collapsed="false">
      <c r="A91" s="18" t="n">
        <v>46112</v>
      </c>
      <c r="B91" s="12" t="n">
        <f aca="false">WEEKDAY(A91,2)</f>
        <v>2</v>
      </c>
      <c r="C91" s="13" t="n">
        <v>1</v>
      </c>
      <c r="D91" s="19" t="n">
        <f aca="false">C91*1</f>
        <v>1</v>
      </c>
    </row>
    <row r="92" customFormat="false" ht="15" hidden="false" customHeight="false" outlineLevel="0" collapsed="false">
      <c r="A92" s="18" t="n">
        <v>46113</v>
      </c>
      <c r="B92" s="12" t="n">
        <f aca="false">WEEKDAY(A92,2)</f>
        <v>3</v>
      </c>
      <c r="C92" s="13" t="n">
        <v>1</v>
      </c>
      <c r="D92" s="19" t="n">
        <f aca="false">C92*1</f>
        <v>1</v>
      </c>
    </row>
    <row r="93" customFormat="false" ht="15" hidden="false" customHeight="false" outlineLevel="0" collapsed="false">
      <c r="A93" s="18" t="n">
        <v>46114</v>
      </c>
      <c r="B93" s="12" t="n">
        <f aca="false">WEEKDAY(A93,2)</f>
        <v>4</v>
      </c>
      <c r="C93" s="13" t="n">
        <v>1</v>
      </c>
      <c r="D93" s="19" t="n">
        <f aca="false">C93*1</f>
        <v>1</v>
      </c>
    </row>
    <row r="94" customFormat="false" ht="15" hidden="false" customHeight="false" outlineLevel="0" collapsed="false">
      <c r="A94" s="18" t="n">
        <v>46115</v>
      </c>
      <c r="B94" s="12" t="n">
        <f aca="false">WEEKDAY(A94,2)</f>
        <v>5</v>
      </c>
      <c r="C94" s="13" t="n">
        <v>1</v>
      </c>
      <c r="D94" s="19" t="n">
        <f aca="false">C94*1</f>
        <v>1</v>
      </c>
    </row>
    <row r="95" customFormat="false" ht="15" hidden="false" customHeight="false" outlineLevel="0" collapsed="false">
      <c r="A95" s="18" t="n">
        <v>46116</v>
      </c>
      <c r="B95" s="12" t="n">
        <f aca="false">WEEKDAY(A95,2)</f>
        <v>6</v>
      </c>
      <c r="C95" s="13" t="n">
        <v>0</v>
      </c>
      <c r="D95" s="19" t="n">
        <f aca="false">C95*1</f>
        <v>0</v>
      </c>
    </row>
    <row r="96" customFormat="false" ht="15" hidden="false" customHeight="false" outlineLevel="0" collapsed="false">
      <c r="A96" s="18" t="n">
        <v>46117</v>
      </c>
      <c r="B96" s="12" t="n">
        <f aca="false">WEEKDAY(A96,2)</f>
        <v>7</v>
      </c>
      <c r="C96" s="13" t="n">
        <v>0</v>
      </c>
      <c r="D96" s="19" t="n">
        <f aca="false">C96*1</f>
        <v>0</v>
      </c>
    </row>
    <row r="97" customFormat="false" ht="15" hidden="false" customHeight="false" outlineLevel="0" collapsed="false">
      <c r="A97" s="18" t="n">
        <v>46118</v>
      </c>
      <c r="B97" s="12" t="n">
        <f aca="false">WEEKDAY(A97,2)</f>
        <v>1</v>
      </c>
      <c r="C97" s="13" t="n">
        <v>1</v>
      </c>
      <c r="D97" s="19" t="n">
        <f aca="false">C97*1</f>
        <v>1</v>
      </c>
    </row>
    <row r="98" customFormat="false" ht="15" hidden="false" customHeight="false" outlineLevel="0" collapsed="false">
      <c r="A98" s="18" t="n">
        <v>46119</v>
      </c>
      <c r="B98" s="12" t="n">
        <f aca="false">WEEKDAY(A98,2)</f>
        <v>2</v>
      </c>
      <c r="C98" s="13" t="n">
        <v>1</v>
      </c>
      <c r="D98" s="19" t="n">
        <f aca="false">C98*1</f>
        <v>1</v>
      </c>
    </row>
    <row r="99" customFormat="false" ht="15" hidden="false" customHeight="false" outlineLevel="0" collapsed="false">
      <c r="A99" s="18" t="n">
        <v>46120</v>
      </c>
      <c r="B99" s="12" t="n">
        <f aca="false">WEEKDAY(A99,2)</f>
        <v>3</v>
      </c>
      <c r="C99" s="13" t="n">
        <v>1</v>
      </c>
      <c r="D99" s="19" t="n">
        <f aca="false">C99*1</f>
        <v>1</v>
      </c>
    </row>
    <row r="100" customFormat="false" ht="15" hidden="false" customHeight="false" outlineLevel="0" collapsed="false">
      <c r="A100" s="18" t="n">
        <v>46121</v>
      </c>
      <c r="B100" s="12" t="n">
        <f aca="false">WEEKDAY(A100,2)</f>
        <v>4</v>
      </c>
      <c r="C100" s="13" t="n">
        <v>1</v>
      </c>
      <c r="D100" s="19" t="n">
        <f aca="false">C100*1</f>
        <v>1</v>
      </c>
    </row>
    <row r="101" customFormat="false" ht="15" hidden="false" customHeight="false" outlineLevel="0" collapsed="false">
      <c r="A101" s="18" t="n">
        <v>46122</v>
      </c>
      <c r="B101" s="12" t="n">
        <f aca="false">WEEKDAY(A101,2)</f>
        <v>5</v>
      </c>
      <c r="C101" s="13" t="n">
        <v>1</v>
      </c>
      <c r="D101" s="19" t="n">
        <f aca="false">C101*1</f>
        <v>1</v>
      </c>
    </row>
    <row r="102" customFormat="false" ht="15" hidden="false" customHeight="false" outlineLevel="0" collapsed="false">
      <c r="A102" s="18" t="n">
        <v>46123</v>
      </c>
      <c r="B102" s="12" t="n">
        <f aca="false">WEEKDAY(A102,2)</f>
        <v>6</v>
      </c>
      <c r="C102" s="13" t="n">
        <v>0</v>
      </c>
      <c r="D102" s="19" t="n">
        <f aca="false">C102*1</f>
        <v>0</v>
      </c>
    </row>
    <row r="103" customFormat="false" ht="15" hidden="false" customHeight="false" outlineLevel="0" collapsed="false">
      <c r="A103" s="18" t="n">
        <v>46124</v>
      </c>
      <c r="B103" s="12" t="n">
        <f aca="false">WEEKDAY(A103,2)</f>
        <v>7</v>
      </c>
      <c r="C103" s="13" t="n">
        <v>0</v>
      </c>
      <c r="D103" s="19" t="n">
        <f aca="false">C103*1</f>
        <v>0</v>
      </c>
    </row>
    <row r="104" customFormat="false" ht="15" hidden="false" customHeight="false" outlineLevel="0" collapsed="false">
      <c r="A104" s="18" t="n">
        <v>46125</v>
      </c>
      <c r="B104" s="12" t="n">
        <f aca="false">WEEKDAY(A104,2)</f>
        <v>1</v>
      </c>
      <c r="C104" s="13" t="n">
        <v>1</v>
      </c>
      <c r="D104" s="19" t="n">
        <f aca="false">C104*1</f>
        <v>1</v>
      </c>
    </row>
    <row r="105" customFormat="false" ht="15" hidden="false" customHeight="false" outlineLevel="0" collapsed="false">
      <c r="A105" s="18" t="n">
        <v>46126</v>
      </c>
      <c r="B105" s="12" t="n">
        <f aca="false">WEEKDAY(A105,2)</f>
        <v>2</v>
      </c>
      <c r="C105" s="13" t="n">
        <v>1</v>
      </c>
      <c r="D105" s="19" t="n">
        <f aca="false">C105*1</f>
        <v>1</v>
      </c>
    </row>
    <row r="106" customFormat="false" ht="15" hidden="false" customHeight="false" outlineLevel="0" collapsed="false">
      <c r="A106" s="18" t="n">
        <v>46127</v>
      </c>
      <c r="B106" s="12" t="n">
        <f aca="false">WEEKDAY(A106,2)</f>
        <v>3</v>
      </c>
      <c r="C106" s="13" t="n">
        <v>1</v>
      </c>
      <c r="D106" s="19" t="n">
        <f aca="false">C106*1</f>
        <v>1</v>
      </c>
    </row>
    <row r="107" customFormat="false" ht="15" hidden="false" customHeight="false" outlineLevel="0" collapsed="false">
      <c r="A107" s="18" t="n">
        <v>46128</v>
      </c>
      <c r="B107" s="12" t="n">
        <f aca="false">WEEKDAY(A107,2)</f>
        <v>4</v>
      </c>
      <c r="C107" s="13" t="n">
        <v>1</v>
      </c>
      <c r="D107" s="19" t="n">
        <f aca="false">C107*1</f>
        <v>1</v>
      </c>
    </row>
    <row r="108" customFormat="false" ht="15" hidden="false" customHeight="false" outlineLevel="0" collapsed="false">
      <c r="A108" s="18" t="n">
        <v>46129</v>
      </c>
      <c r="B108" s="12" t="n">
        <f aca="false">WEEKDAY(A108,2)</f>
        <v>5</v>
      </c>
      <c r="C108" s="13" t="n">
        <v>1</v>
      </c>
      <c r="D108" s="19" t="n">
        <f aca="false">C108*1</f>
        <v>1</v>
      </c>
    </row>
    <row r="109" customFormat="false" ht="15" hidden="false" customHeight="false" outlineLevel="0" collapsed="false">
      <c r="A109" s="18" t="n">
        <v>46130</v>
      </c>
      <c r="B109" s="12" t="n">
        <f aca="false">WEEKDAY(A109,2)</f>
        <v>6</v>
      </c>
      <c r="C109" s="13" t="n">
        <v>0</v>
      </c>
      <c r="D109" s="19" t="n">
        <f aca="false">C109*1</f>
        <v>0</v>
      </c>
    </row>
    <row r="110" customFormat="false" ht="15" hidden="false" customHeight="false" outlineLevel="0" collapsed="false">
      <c r="A110" s="18" t="n">
        <v>46131</v>
      </c>
      <c r="B110" s="12" t="n">
        <f aca="false">WEEKDAY(A110,2)</f>
        <v>7</v>
      </c>
      <c r="C110" s="13" t="n">
        <v>0</v>
      </c>
      <c r="D110" s="19" t="n">
        <f aca="false">C110*1</f>
        <v>0</v>
      </c>
    </row>
    <row r="111" customFormat="false" ht="15" hidden="false" customHeight="false" outlineLevel="0" collapsed="false">
      <c r="A111" s="18" t="n">
        <v>46132</v>
      </c>
      <c r="B111" s="12" t="n">
        <f aca="false">WEEKDAY(A111,2)</f>
        <v>1</v>
      </c>
      <c r="C111" s="13" t="n">
        <v>1</v>
      </c>
      <c r="D111" s="19" t="n">
        <f aca="false">C111*1</f>
        <v>1</v>
      </c>
    </row>
    <row r="112" customFormat="false" ht="15" hidden="false" customHeight="false" outlineLevel="0" collapsed="false">
      <c r="A112" s="18" t="n">
        <v>46133</v>
      </c>
      <c r="B112" s="12" t="n">
        <f aca="false">WEEKDAY(A112,2)</f>
        <v>2</v>
      </c>
      <c r="C112" s="13" t="n">
        <v>1</v>
      </c>
      <c r="D112" s="19" t="n">
        <f aca="false">C112*1</f>
        <v>1</v>
      </c>
    </row>
    <row r="113" customFormat="false" ht="15" hidden="false" customHeight="false" outlineLevel="0" collapsed="false">
      <c r="A113" s="18" t="n">
        <v>46134</v>
      </c>
      <c r="B113" s="12" t="n">
        <f aca="false">WEEKDAY(A113,2)</f>
        <v>3</v>
      </c>
      <c r="C113" s="13" t="n">
        <v>1</v>
      </c>
      <c r="D113" s="19" t="n">
        <f aca="false">C113*1</f>
        <v>1</v>
      </c>
    </row>
    <row r="114" customFormat="false" ht="15" hidden="false" customHeight="false" outlineLevel="0" collapsed="false">
      <c r="A114" s="18" t="n">
        <v>46135</v>
      </c>
      <c r="B114" s="12" t="n">
        <f aca="false">WEEKDAY(A114,2)</f>
        <v>4</v>
      </c>
      <c r="C114" s="13" t="n">
        <v>1</v>
      </c>
      <c r="D114" s="19" t="n">
        <f aca="false">C114*1</f>
        <v>1</v>
      </c>
    </row>
    <row r="115" customFormat="false" ht="15" hidden="false" customHeight="false" outlineLevel="0" collapsed="false">
      <c r="A115" s="18" t="n">
        <v>46136</v>
      </c>
      <c r="B115" s="12" t="n">
        <f aca="false">WEEKDAY(A115,2)</f>
        <v>5</v>
      </c>
      <c r="C115" s="13" t="n">
        <v>1</v>
      </c>
      <c r="D115" s="19" t="n">
        <f aca="false">C115*1</f>
        <v>1</v>
      </c>
    </row>
    <row r="116" customFormat="false" ht="15" hidden="false" customHeight="false" outlineLevel="0" collapsed="false">
      <c r="A116" s="18" t="n">
        <v>46137</v>
      </c>
      <c r="B116" s="12" t="n">
        <f aca="false">WEEKDAY(A116,2)</f>
        <v>6</v>
      </c>
      <c r="C116" s="13" t="n">
        <v>0</v>
      </c>
      <c r="D116" s="19" t="n">
        <f aca="false">C116*1</f>
        <v>0</v>
      </c>
    </row>
    <row r="117" customFormat="false" ht="15" hidden="false" customHeight="false" outlineLevel="0" collapsed="false">
      <c r="A117" s="18" t="n">
        <v>46138</v>
      </c>
      <c r="B117" s="12" t="n">
        <f aca="false">WEEKDAY(A117,2)</f>
        <v>7</v>
      </c>
      <c r="C117" s="13" t="n">
        <v>0</v>
      </c>
      <c r="D117" s="19" t="n">
        <f aca="false">C117*1</f>
        <v>0</v>
      </c>
    </row>
    <row r="118" customFormat="false" ht="15" hidden="false" customHeight="false" outlineLevel="0" collapsed="false">
      <c r="A118" s="18" t="n">
        <v>46139</v>
      </c>
      <c r="B118" s="12" t="n">
        <f aca="false">WEEKDAY(A118,2)</f>
        <v>1</v>
      </c>
      <c r="C118" s="13" t="n">
        <v>1</v>
      </c>
      <c r="D118" s="19" t="n">
        <f aca="false">C118*1</f>
        <v>1</v>
      </c>
    </row>
    <row r="119" customFormat="false" ht="15" hidden="false" customHeight="false" outlineLevel="0" collapsed="false">
      <c r="A119" s="18" t="n">
        <v>46140</v>
      </c>
      <c r="B119" s="12" t="n">
        <f aca="false">WEEKDAY(A119,2)</f>
        <v>2</v>
      </c>
      <c r="C119" s="13" t="n">
        <v>1</v>
      </c>
      <c r="D119" s="19" t="n">
        <f aca="false">C119*1</f>
        <v>1</v>
      </c>
    </row>
    <row r="120" customFormat="false" ht="15" hidden="false" customHeight="false" outlineLevel="0" collapsed="false">
      <c r="A120" s="18" t="n">
        <v>46141</v>
      </c>
      <c r="B120" s="12" t="n">
        <f aca="false">WEEKDAY(A120,2)</f>
        <v>3</v>
      </c>
      <c r="C120" s="13" t="n">
        <v>1</v>
      </c>
      <c r="D120" s="19" t="n">
        <f aca="false">C120*1</f>
        <v>1</v>
      </c>
    </row>
    <row r="121" customFormat="false" ht="15" hidden="false" customHeight="false" outlineLevel="0" collapsed="false">
      <c r="A121" s="18" t="n">
        <v>46142</v>
      </c>
      <c r="B121" s="12" t="n">
        <f aca="false">WEEKDAY(A121,2)</f>
        <v>4</v>
      </c>
      <c r="C121" s="13" t="n">
        <v>1</v>
      </c>
      <c r="D121" s="19" t="n">
        <f aca="false">C121*1</f>
        <v>1</v>
      </c>
    </row>
    <row r="122" customFormat="false" ht="15" hidden="false" customHeight="false" outlineLevel="0" collapsed="false">
      <c r="A122" s="18" t="n">
        <v>46143</v>
      </c>
      <c r="B122" s="12" t="n">
        <f aca="false">WEEKDAY(A122,2)</f>
        <v>5</v>
      </c>
      <c r="C122" s="13" t="n">
        <v>1</v>
      </c>
      <c r="D122" s="19" t="n">
        <f aca="false">C122*1</f>
        <v>1</v>
      </c>
    </row>
    <row r="123" customFormat="false" ht="15" hidden="false" customHeight="false" outlineLevel="0" collapsed="false">
      <c r="A123" s="18" t="n">
        <v>46144</v>
      </c>
      <c r="B123" s="12" t="n">
        <f aca="false">WEEKDAY(A123,2)</f>
        <v>6</v>
      </c>
      <c r="C123" s="13" t="n">
        <v>0</v>
      </c>
      <c r="D123" s="19" t="n">
        <f aca="false">C123*1</f>
        <v>0</v>
      </c>
    </row>
    <row r="124" customFormat="false" ht="15" hidden="false" customHeight="false" outlineLevel="0" collapsed="false">
      <c r="A124" s="18" t="n">
        <v>46145</v>
      </c>
      <c r="B124" s="12" t="n">
        <f aca="false">WEEKDAY(A124,2)</f>
        <v>7</v>
      </c>
      <c r="C124" s="13" t="n">
        <v>0</v>
      </c>
      <c r="D124" s="19" t="n">
        <f aca="false">C124*1</f>
        <v>0</v>
      </c>
    </row>
    <row r="125" customFormat="false" ht="15" hidden="false" customHeight="false" outlineLevel="0" collapsed="false">
      <c r="A125" s="18" t="n">
        <v>46146</v>
      </c>
      <c r="B125" s="12" t="n">
        <f aca="false">WEEKDAY(A125,2)</f>
        <v>1</v>
      </c>
      <c r="C125" s="13" t="n">
        <v>1</v>
      </c>
      <c r="D125" s="19" t="n">
        <f aca="false">C125*1</f>
        <v>1</v>
      </c>
    </row>
    <row r="126" customFormat="false" ht="15" hidden="false" customHeight="false" outlineLevel="0" collapsed="false">
      <c r="A126" s="18" t="n">
        <v>46147</v>
      </c>
      <c r="B126" s="12" t="n">
        <f aca="false">WEEKDAY(A126,2)</f>
        <v>2</v>
      </c>
      <c r="C126" s="13" t="n">
        <v>1</v>
      </c>
      <c r="D126" s="19" t="n">
        <f aca="false">C126*1</f>
        <v>1</v>
      </c>
    </row>
    <row r="127" customFormat="false" ht="15" hidden="false" customHeight="false" outlineLevel="0" collapsed="false">
      <c r="A127" s="18" t="n">
        <v>46148</v>
      </c>
      <c r="B127" s="12" t="n">
        <f aca="false">WEEKDAY(A127,2)</f>
        <v>3</v>
      </c>
      <c r="C127" s="13" t="n">
        <v>1</v>
      </c>
      <c r="D127" s="19" t="n">
        <f aca="false">C127*1</f>
        <v>1</v>
      </c>
    </row>
    <row r="128" customFormat="false" ht="15" hidden="false" customHeight="false" outlineLevel="0" collapsed="false">
      <c r="A128" s="18" t="n">
        <v>46149</v>
      </c>
      <c r="B128" s="12" t="n">
        <f aca="false">WEEKDAY(A128,2)</f>
        <v>4</v>
      </c>
      <c r="C128" s="13" t="n">
        <v>1</v>
      </c>
      <c r="D128" s="19" t="n">
        <f aca="false">C128*1</f>
        <v>1</v>
      </c>
    </row>
    <row r="129" customFormat="false" ht="15" hidden="false" customHeight="false" outlineLevel="0" collapsed="false">
      <c r="A129" s="18" t="n">
        <v>46150</v>
      </c>
      <c r="B129" s="12" t="n">
        <f aca="false">WEEKDAY(A129,2)</f>
        <v>5</v>
      </c>
      <c r="C129" s="13" t="n">
        <v>1</v>
      </c>
      <c r="D129" s="19" t="n">
        <f aca="false">C129*1</f>
        <v>1</v>
      </c>
    </row>
    <row r="130" customFormat="false" ht="15" hidden="false" customHeight="false" outlineLevel="0" collapsed="false">
      <c r="A130" s="18" t="n">
        <v>46151</v>
      </c>
      <c r="B130" s="12" t="n">
        <f aca="false">WEEKDAY(A130,2)</f>
        <v>6</v>
      </c>
      <c r="C130" s="13" t="n">
        <v>0</v>
      </c>
      <c r="D130" s="19" t="n">
        <f aca="false">C130*1</f>
        <v>0</v>
      </c>
    </row>
    <row r="131" customFormat="false" ht="15" hidden="false" customHeight="false" outlineLevel="0" collapsed="false">
      <c r="A131" s="18" t="n">
        <v>46152</v>
      </c>
      <c r="B131" s="12" t="n">
        <f aca="false">WEEKDAY(A131,2)</f>
        <v>7</v>
      </c>
      <c r="C131" s="13" t="n">
        <v>0</v>
      </c>
      <c r="D131" s="19" t="n">
        <f aca="false">C131*1</f>
        <v>0</v>
      </c>
    </row>
    <row r="132" customFormat="false" ht="15" hidden="false" customHeight="false" outlineLevel="0" collapsed="false">
      <c r="A132" s="18" t="n">
        <v>46153</v>
      </c>
      <c r="B132" s="12" t="n">
        <f aca="false">WEEKDAY(A132,2)</f>
        <v>1</v>
      </c>
      <c r="C132" s="13" t="n">
        <v>1</v>
      </c>
      <c r="D132" s="19" t="n">
        <f aca="false">C132*1</f>
        <v>1</v>
      </c>
    </row>
    <row r="133" customFormat="false" ht="15" hidden="false" customHeight="false" outlineLevel="0" collapsed="false">
      <c r="A133" s="18" t="n">
        <v>46154</v>
      </c>
      <c r="B133" s="12" t="n">
        <f aca="false">WEEKDAY(A133,2)</f>
        <v>2</v>
      </c>
      <c r="C133" s="13" t="n">
        <v>1</v>
      </c>
      <c r="D133" s="19" t="n">
        <f aca="false">C133*1</f>
        <v>1</v>
      </c>
    </row>
    <row r="134" customFormat="false" ht="15" hidden="false" customHeight="false" outlineLevel="0" collapsed="false">
      <c r="A134" s="18" t="n">
        <v>46155</v>
      </c>
      <c r="B134" s="12" t="n">
        <f aca="false">WEEKDAY(A134,2)</f>
        <v>3</v>
      </c>
      <c r="C134" s="13" t="n">
        <v>1</v>
      </c>
      <c r="D134" s="19" t="n">
        <f aca="false">C134*1</f>
        <v>1</v>
      </c>
    </row>
    <row r="135" customFormat="false" ht="15" hidden="false" customHeight="false" outlineLevel="0" collapsed="false">
      <c r="A135" s="18" t="n">
        <v>46156</v>
      </c>
      <c r="B135" s="12" t="n">
        <f aca="false">WEEKDAY(A135,2)</f>
        <v>4</v>
      </c>
      <c r="C135" s="13" t="n">
        <v>1</v>
      </c>
      <c r="D135" s="19" t="n">
        <f aca="false">C135*1</f>
        <v>1</v>
      </c>
    </row>
    <row r="136" customFormat="false" ht="15" hidden="false" customHeight="false" outlineLevel="0" collapsed="false">
      <c r="A136" s="18" t="n">
        <v>46157</v>
      </c>
      <c r="B136" s="12" t="n">
        <f aca="false">WEEKDAY(A136,2)</f>
        <v>5</v>
      </c>
      <c r="C136" s="13" t="n">
        <v>1</v>
      </c>
      <c r="D136" s="19" t="n">
        <f aca="false">C136*1</f>
        <v>1</v>
      </c>
    </row>
    <row r="137" customFormat="false" ht="15" hidden="false" customHeight="false" outlineLevel="0" collapsed="false">
      <c r="A137" s="18" t="n">
        <v>46158</v>
      </c>
      <c r="B137" s="12" t="n">
        <f aca="false">WEEKDAY(A137,2)</f>
        <v>6</v>
      </c>
      <c r="C137" s="13" t="n">
        <v>0</v>
      </c>
      <c r="D137" s="19" t="n">
        <f aca="false">C137*1</f>
        <v>0</v>
      </c>
    </row>
    <row r="138" customFormat="false" ht="15" hidden="false" customHeight="false" outlineLevel="0" collapsed="false">
      <c r="A138" s="18" t="n">
        <v>46159</v>
      </c>
      <c r="B138" s="12" t="n">
        <f aca="false">WEEKDAY(A138,2)</f>
        <v>7</v>
      </c>
      <c r="C138" s="13" t="n">
        <v>0</v>
      </c>
      <c r="D138" s="19" t="n">
        <f aca="false">C138*1</f>
        <v>0</v>
      </c>
    </row>
    <row r="139" customFormat="false" ht="15" hidden="false" customHeight="false" outlineLevel="0" collapsed="false">
      <c r="A139" s="18" t="n">
        <v>46160</v>
      </c>
      <c r="B139" s="12" t="n">
        <f aca="false">WEEKDAY(A139,2)</f>
        <v>1</v>
      </c>
      <c r="C139" s="13" t="n">
        <v>1</v>
      </c>
      <c r="D139" s="19" t="n">
        <f aca="false">C139*1</f>
        <v>1</v>
      </c>
    </row>
    <row r="140" customFormat="false" ht="15" hidden="false" customHeight="false" outlineLevel="0" collapsed="false">
      <c r="A140" s="18" t="n">
        <v>46161</v>
      </c>
      <c r="B140" s="12" t="n">
        <f aca="false">WEEKDAY(A140,2)</f>
        <v>2</v>
      </c>
      <c r="C140" s="13" t="n">
        <v>1</v>
      </c>
      <c r="D140" s="19" t="n">
        <f aca="false">C140*1</f>
        <v>1</v>
      </c>
    </row>
    <row r="141" customFormat="false" ht="15" hidden="false" customHeight="false" outlineLevel="0" collapsed="false">
      <c r="A141" s="18" t="n">
        <v>46162</v>
      </c>
      <c r="B141" s="12" t="n">
        <f aca="false">WEEKDAY(A141,2)</f>
        <v>3</v>
      </c>
      <c r="C141" s="13" t="n">
        <v>1</v>
      </c>
      <c r="D141" s="19" t="n">
        <f aca="false">C141*1</f>
        <v>1</v>
      </c>
    </row>
    <row r="142" customFormat="false" ht="15" hidden="false" customHeight="false" outlineLevel="0" collapsed="false">
      <c r="A142" s="18" t="n">
        <v>46163</v>
      </c>
      <c r="B142" s="12" t="n">
        <f aca="false">WEEKDAY(A142,2)</f>
        <v>4</v>
      </c>
      <c r="C142" s="13" t="n">
        <v>1</v>
      </c>
      <c r="D142" s="19" t="n">
        <f aca="false">C142*1</f>
        <v>1</v>
      </c>
    </row>
    <row r="143" customFormat="false" ht="15" hidden="false" customHeight="false" outlineLevel="0" collapsed="false">
      <c r="A143" s="18" t="n">
        <v>46164</v>
      </c>
      <c r="B143" s="12" t="n">
        <f aca="false">WEEKDAY(A143,2)</f>
        <v>5</v>
      </c>
      <c r="C143" s="13" t="n">
        <v>1</v>
      </c>
      <c r="D143" s="19" t="n">
        <f aca="false">C143*1</f>
        <v>1</v>
      </c>
    </row>
    <row r="144" customFormat="false" ht="15" hidden="false" customHeight="false" outlineLevel="0" collapsed="false">
      <c r="A144" s="18" t="n">
        <v>46165</v>
      </c>
      <c r="B144" s="12" t="n">
        <f aca="false">WEEKDAY(A144,2)</f>
        <v>6</v>
      </c>
      <c r="C144" s="13" t="n">
        <v>0</v>
      </c>
      <c r="D144" s="19" t="n">
        <f aca="false">C144*1</f>
        <v>0</v>
      </c>
    </row>
    <row r="145" customFormat="false" ht="15" hidden="false" customHeight="false" outlineLevel="0" collapsed="false">
      <c r="A145" s="18" t="n">
        <v>46166</v>
      </c>
      <c r="B145" s="12" t="n">
        <f aca="false">WEEKDAY(A145,2)</f>
        <v>7</v>
      </c>
      <c r="C145" s="13" t="n">
        <v>0</v>
      </c>
      <c r="D145" s="19" t="n">
        <f aca="false">C145*1</f>
        <v>0</v>
      </c>
    </row>
    <row r="146" customFormat="false" ht="15" hidden="false" customHeight="false" outlineLevel="0" collapsed="false">
      <c r="A146" s="18" t="n">
        <v>46167</v>
      </c>
      <c r="B146" s="12" t="n">
        <f aca="false">WEEKDAY(A146,2)</f>
        <v>1</v>
      </c>
      <c r="C146" s="13" t="n">
        <v>1</v>
      </c>
      <c r="D146" s="19" t="n">
        <f aca="false">C146*1</f>
        <v>1</v>
      </c>
    </row>
    <row r="147" customFormat="false" ht="15" hidden="false" customHeight="false" outlineLevel="0" collapsed="false">
      <c r="A147" s="18" t="n">
        <v>46168</v>
      </c>
      <c r="B147" s="12" t="n">
        <f aca="false">WEEKDAY(A147,2)</f>
        <v>2</v>
      </c>
      <c r="C147" s="13" t="n">
        <v>1</v>
      </c>
      <c r="D147" s="19" t="n">
        <f aca="false">C147*1</f>
        <v>1</v>
      </c>
    </row>
    <row r="148" customFormat="false" ht="15" hidden="false" customHeight="false" outlineLevel="0" collapsed="false">
      <c r="A148" s="18" t="n">
        <v>46169</v>
      </c>
      <c r="B148" s="12" t="n">
        <f aca="false">WEEKDAY(A148,2)</f>
        <v>3</v>
      </c>
      <c r="C148" s="13" t="n">
        <v>1</v>
      </c>
      <c r="D148" s="19" t="n">
        <f aca="false">C148*1</f>
        <v>1</v>
      </c>
    </row>
    <row r="149" customFormat="false" ht="15" hidden="false" customHeight="false" outlineLevel="0" collapsed="false">
      <c r="A149" s="18" t="n">
        <v>46170</v>
      </c>
      <c r="B149" s="12" t="n">
        <f aca="false">WEEKDAY(A149,2)</f>
        <v>4</v>
      </c>
      <c r="C149" s="13" t="n">
        <v>1</v>
      </c>
      <c r="D149" s="19" t="n">
        <f aca="false">C149*1</f>
        <v>1</v>
      </c>
    </row>
    <row r="150" customFormat="false" ht="15" hidden="false" customHeight="false" outlineLevel="0" collapsed="false">
      <c r="A150" s="18" t="n">
        <v>46171</v>
      </c>
      <c r="B150" s="12" t="n">
        <f aca="false">WEEKDAY(A150,2)</f>
        <v>5</v>
      </c>
      <c r="C150" s="13" t="n">
        <v>1</v>
      </c>
      <c r="D150" s="19" t="n">
        <f aca="false">C150*1</f>
        <v>1</v>
      </c>
    </row>
    <row r="151" customFormat="false" ht="15" hidden="false" customHeight="false" outlineLevel="0" collapsed="false">
      <c r="A151" s="18" t="n">
        <v>46172</v>
      </c>
      <c r="B151" s="12" t="n">
        <f aca="false">WEEKDAY(A151,2)</f>
        <v>6</v>
      </c>
      <c r="C151" s="13" t="n">
        <v>0</v>
      </c>
      <c r="D151" s="19" t="n">
        <f aca="false">C151*1</f>
        <v>0</v>
      </c>
    </row>
    <row r="152" customFormat="false" ht="15" hidden="false" customHeight="false" outlineLevel="0" collapsed="false">
      <c r="A152" s="18" t="n">
        <v>46173</v>
      </c>
      <c r="B152" s="12" t="n">
        <f aca="false">WEEKDAY(A152,2)</f>
        <v>7</v>
      </c>
      <c r="C152" s="13" t="n">
        <v>0</v>
      </c>
      <c r="D152" s="19" t="n">
        <f aca="false">C152*1</f>
        <v>0</v>
      </c>
    </row>
    <row r="153" customFormat="false" ht="15" hidden="false" customHeight="false" outlineLevel="0" collapsed="false">
      <c r="A153" s="18" t="n">
        <v>46174</v>
      </c>
      <c r="B153" s="12" t="n">
        <f aca="false">WEEKDAY(A153,2)</f>
        <v>1</v>
      </c>
      <c r="C153" s="13" t="n">
        <v>1</v>
      </c>
      <c r="D153" s="19" t="n">
        <f aca="false">C153*1</f>
        <v>1</v>
      </c>
    </row>
    <row r="154" customFormat="false" ht="15" hidden="false" customHeight="false" outlineLevel="0" collapsed="false">
      <c r="A154" s="18" t="n">
        <v>46175</v>
      </c>
      <c r="B154" s="12" t="n">
        <f aca="false">WEEKDAY(A154,2)</f>
        <v>2</v>
      </c>
      <c r="C154" s="13" t="n">
        <v>1</v>
      </c>
      <c r="D154" s="19" t="n">
        <f aca="false">C154*1</f>
        <v>1</v>
      </c>
    </row>
    <row r="155" customFormat="false" ht="15" hidden="false" customHeight="false" outlineLevel="0" collapsed="false">
      <c r="A155" s="18" t="n">
        <v>46176</v>
      </c>
      <c r="B155" s="12" t="n">
        <f aca="false">WEEKDAY(A155,2)</f>
        <v>3</v>
      </c>
      <c r="C155" s="13" t="n">
        <v>1</v>
      </c>
      <c r="D155" s="19" t="n">
        <f aca="false">C155*1</f>
        <v>1</v>
      </c>
    </row>
    <row r="156" customFormat="false" ht="15" hidden="false" customHeight="false" outlineLevel="0" collapsed="false">
      <c r="A156" s="18" t="n">
        <v>46177</v>
      </c>
      <c r="B156" s="12" t="n">
        <f aca="false">WEEKDAY(A156,2)</f>
        <v>4</v>
      </c>
      <c r="C156" s="13" t="n">
        <v>1</v>
      </c>
      <c r="D156" s="19" t="n">
        <f aca="false">C156*1</f>
        <v>1</v>
      </c>
    </row>
    <row r="157" customFormat="false" ht="15" hidden="false" customHeight="false" outlineLevel="0" collapsed="false">
      <c r="A157" s="18" t="n">
        <v>46178</v>
      </c>
      <c r="B157" s="12" t="n">
        <f aca="false">WEEKDAY(A157,2)</f>
        <v>5</v>
      </c>
      <c r="C157" s="13" t="n">
        <v>1</v>
      </c>
      <c r="D157" s="19" t="n">
        <f aca="false">C157*1</f>
        <v>1</v>
      </c>
    </row>
    <row r="158" customFormat="false" ht="15" hidden="false" customHeight="false" outlineLevel="0" collapsed="false">
      <c r="A158" s="18" t="n">
        <v>46179</v>
      </c>
      <c r="B158" s="12" t="n">
        <f aca="false">WEEKDAY(A158,2)</f>
        <v>6</v>
      </c>
      <c r="C158" s="13" t="n">
        <v>0</v>
      </c>
      <c r="D158" s="19" t="n">
        <f aca="false">C158*1</f>
        <v>0</v>
      </c>
    </row>
    <row r="159" customFormat="false" ht="15" hidden="false" customHeight="false" outlineLevel="0" collapsed="false">
      <c r="A159" s="18" t="n">
        <v>46180</v>
      </c>
      <c r="B159" s="12" t="n">
        <f aca="false">WEEKDAY(A159,2)</f>
        <v>7</v>
      </c>
      <c r="C159" s="13" t="n">
        <v>0</v>
      </c>
      <c r="D159" s="19" t="n">
        <f aca="false">C159*1</f>
        <v>0</v>
      </c>
    </row>
    <row r="160" customFormat="false" ht="15" hidden="false" customHeight="false" outlineLevel="0" collapsed="false">
      <c r="A160" s="18" t="n">
        <v>46181</v>
      </c>
      <c r="B160" s="12" t="n">
        <f aca="false">WEEKDAY(A160,2)</f>
        <v>1</v>
      </c>
      <c r="C160" s="13" t="n">
        <v>1</v>
      </c>
      <c r="D160" s="19" t="n">
        <f aca="false">C160*1</f>
        <v>1</v>
      </c>
    </row>
    <row r="161" customFormat="false" ht="15" hidden="false" customHeight="false" outlineLevel="0" collapsed="false">
      <c r="A161" s="18" t="n">
        <v>46182</v>
      </c>
      <c r="B161" s="12" t="n">
        <f aca="false">WEEKDAY(A161,2)</f>
        <v>2</v>
      </c>
      <c r="C161" s="13" t="n">
        <v>1</v>
      </c>
      <c r="D161" s="19" t="n">
        <f aca="false">C161*1</f>
        <v>1</v>
      </c>
    </row>
    <row r="162" customFormat="false" ht="15" hidden="false" customHeight="false" outlineLevel="0" collapsed="false">
      <c r="A162" s="18" t="n">
        <v>46183</v>
      </c>
      <c r="B162" s="12" t="n">
        <f aca="false">WEEKDAY(A162,2)</f>
        <v>3</v>
      </c>
      <c r="C162" s="13" t="n">
        <v>1</v>
      </c>
      <c r="D162" s="19" t="n">
        <f aca="false">C162*1</f>
        <v>1</v>
      </c>
    </row>
    <row r="163" customFormat="false" ht="15" hidden="false" customHeight="false" outlineLevel="0" collapsed="false">
      <c r="A163" s="18" t="n">
        <v>46184</v>
      </c>
      <c r="B163" s="12" t="n">
        <f aca="false">WEEKDAY(A163,2)</f>
        <v>4</v>
      </c>
      <c r="C163" s="13" t="n">
        <v>1</v>
      </c>
      <c r="D163" s="19" t="n">
        <f aca="false">C163*1</f>
        <v>1</v>
      </c>
    </row>
    <row r="164" customFormat="false" ht="15" hidden="false" customHeight="false" outlineLevel="0" collapsed="false">
      <c r="A164" s="18" t="n">
        <v>46185</v>
      </c>
      <c r="B164" s="12" t="n">
        <f aca="false">WEEKDAY(A164,2)</f>
        <v>5</v>
      </c>
      <c r="C164" s="13" t="n">
        <v>1</v>
      </c>
      <c r="D164" s="19" t="n">
        <f aca="false">C164*1</f>
        <v>1</v>
      </c>
    </row>
    <row r="165" customFormat="false" ht="15" hidden="false" customHeight="false" outlineLevel="0" collapsed="false">
      <c r="A165" s="18" t="n">
        <v>46186</v>
      </c>
      <c r="B165" s="12" t="n">
        <f aca="false">WEEKDAY(A165,2)</f>
        <v>6</v>
      </c>
      <c r="C165" s="13" t="n">
        <v>0</v>
      </c>
      <c r="D165" s="19" t="n">
        <f aca="false">C165*1</f>
        <v>0</v>
      </c>
    </row>
    <row r="166" customFormat="false" ht="15" hidden="false" customHeight="false" outlineLevel="0" collapsed="false">
      <c r="A166" s="18" t="n">
        <v>46187</v>
      </c>
      <c r="B166" s="12" t="n">
        <f aca="false">WEEKDAY(A166,2)</f>
        <v>7</v>
      </c>
      <c r="C166" s="13" t="n">
        <v>0</v>
      </c>
      <c r="D166" s="19" t="n">
        <f aca="false">C166*1</f>
        <v>0</v>
      </c>
    </row>
    <row r="167" customFormat="false" ht="15" hidden="false" customHeight="false" outlineLevel="0" collapsed="false">
      <c r="A167" s="18" t="n">
        <v>46188</v>
      </c>
      <c r="B167" s="12" t="n">
        <f aca="false">WEEKDAY(A167,2)</f>
        <v>1</v>
      </c>
      <c r="C167" s="13" t="n">
        <v>1</v>
      </c>
      <c r="D167" s="19" t="n">
        <f aca="false">C167*1</f>
        <v>1</v>
      </c>
    </row>
    <row r="168" customFormat="false" ht="15" hidden="false" customHeight="false" outlineLevel="0" collapsed="false">
      <c r="A168" s="18" t="n">
        <v>46189</v>
      </c>
      <c r="B168" s="12" t="n">
        <f aca="false">WEEKDAY(A168,2)</f>
        <v>2</v>
      </c>
      <c r="C168" s="13" t="n">
        <v>1</v>
      </c>
      <c r="D168" s="19" t="n">
        <f aca="false">C168*1</f>
        <v>1</v>
      </c>
    </row>
    <row r="169" customFormat="false" ht="15" hidden="false" customHeight="false" outlineLevel="0" collapsed="false">
      <c r="A169" s="18" t="n">
        <v>46190</v>
      </c>
      <c r="B169" s="12" t="n">
        <f aca="false">WEEKDAY(A169,2)</f>
        <v>3</v>
      </c>
      <c r="C169" s="13" t="n">
        <v>1</v>
      </c>
      <c r="D169" s="19" t="n">
        <f aca="false">C169*1</f>
        <v>1</v>
      </c>
    </row>
    <row r="170" customFormat="false" ht="15" hidden="false" customHeight="false" outlineLevel="0" collapsed="false">
      <c r="A170" s="18" t="n">
        <v>46191</v>
      </c>
      <c r="B170" s="12" t="n">
        <f aca="false">WEEKDAY(A170,2)</f>
        <v>4</v>
      </c>
      <c r="C170" s="13" t="n">
        <v>1</v>
      </c>
      <c r="D170" s="19" t="n">
        <f aca="false">C170*1</f>
        <v>1</v>
      </c>
    </row>
    <row r="171" customFormat="false" ht="15" hidden="false" customHeight="false" outlineLevel="0" collapsed="false">
      <c r="A171" s="18" t="n">
        <v>46192</v>
      </c>
      <c r="B171" s="12" t="n">
        <f aca="false">WEEKDAY(A171,2)</f>
        <v>5</v>
      </c>
      <c r="C171" s="13" t="n">
        <v>1</v>
      </c>
      <c r="D171" s="19" t="n">
        <f aca="false">C171*1</f>
        <v>1</v>
      </c>
    </row>
    <row r="172" customFormat="false" ht="15" hidden="false" customHeight="false" outlineLevel="0" collapsed="false">
      <c r="A172" s="18" t="n">
        <v>46193</v>
      </c>
      <c r="B172" s="12" t="n">
        <f aca="false">WEEKDAY(A172,2)</f>
        <v>6</v>
      </c>
      <c r="C172" s="13" t="n">
        <v>0</v>
      </c>
      <c r="D172" s="19" t="n">
        <f aca="false">C172*1</f>
        <v>0</v>
      </c>
    </row>
    <row r="173" customFormat="false" ht="15" hidden="false" customHeight="false" outlineLevel="0" collapsed="false">
      <c r="A173" s="18" t="n">
        <v>46194</v>
      </c>
      <c r="B173" s="12" t="n">
        <f aca="false">WEEKDAY(A173,2)</f>
        <v>7</v>
      </c>
      <c r="C173" s="13" t="n">
        <v>0</v>
      </c>
      <c r="D173" s="19" t="n">
        <f aca="false">C173*1</f>
        <v>0</v>
      </c>
    </row>
    <row r="174" customFormat="false" ht="15" hidden="false" customHeight="false" outlineLevel="0" collapsed="false">
      <c r="A174" s="18" t="n">
        <v>46195</v>
      </c>
      <c r="B174" s="12" t="n">
        <f aca="false">WEEKDAY(A174,2)</f>
        <v>1</v>
      </c>
      <c r="C174" s="13" t="n">
        <v>1</v>
      </c>
      <c r="D174" s="19" t="n">
        <f aca="false">C174*1</f>
        <v>1</v>
      </c>
    </row>
    <row r="175" customFormat="false" ht="15" hidden="false" customHeight="false" outlineLevel="0" collapsed="false">
      <c r="A175" s="18" t="n">
        <v>46196</v>
      </c>
      <c r="B175" s="12" t="n">
        <f aca="false">WEEKDAY(A175,2)</f>
        <v>2</v>
      </c>
      <c r="C175" s="13" t="n">
        <v>1</v>
      </c>
      <c r="D175" s="19" t="n">
        <f aca="false">C175*1</f>
        <v>1</v>
      </c>
    </row>
    <row r="176" customFormat="false" ht="15" hidden="false" customHeight="false" outlineLevel="0" collapsed="false">
      <c r="A176" s="18" t="n">
        <v>46197</v>
      </c>
      <c r="B176" s="12" t="n">
        <f aca="false">WEEKDAY(A176,2)</f>
        <v>3</v>
      </c>
      <c r="C176" s="13" t="n">
        <v>1</v>
      </c>
      <c r="D176" s="19" t="n">
        <f aca="false">C176*1</f>
        <v>1</v>
      </c>
    </row>
    <row r="177" customFormat="false" ht="15" hidden="false" customHeight="false" outlineLevel="0" collapsed="false">
      <c r="A177" s="18" t="n">
        <v>46198</v>
      </c>
      <c r="B177" s="12" t="n">
        <f aca="false">WEEKDAY(A177,2)</f>
        <v>4</v>
      </c>
      <c r="C177" s="13" t="n">
        <v>1</v>
      </c>
      <c r="D177" s="19" t="n">
        <f aca="false">C177*1</f>
        <v>1</v>
      </c>
    </row>
    <row r="178" customFormat="false" ht="15" hidden="false" customHeight="false" outlineLevel="0" collapsed="false">
      <c r="A178" s="18" t="n">
        <v>46199</v>
      </c>
      <c r="B178" s="12" t="n">
        <f aca="false">WEEKDAY(A178,2)</f>
        <v>5</v>
      </c>
      <c r="C178" s="13" t="n">
        <v>1</v>
      </c>
      <c r="D178" s="19" t="n">
        <f aca="false">C178*1</f>
        <v>1</v>
      </c>
    </row>
    <row r="179" customFormat="false" ht="15" hidden="false" customHeight="false" outlineLevel="0" collapsed="false">
      <c r="A179" s="18" t="n">
        <v>46200</v>
      </c>
      <c r="B179" s="12" t="n">
        <f aca="false">WEEKDAY(A179,2)</f>
        <v>6</v>
      </c>
      <c r="C179" s="13" t="n">
        <v>0</v>
      </c>
      <c r="D179" s="19" t="n">
        <f aca="false">C179*1</f>
        <v>0</v>
      </c>
    </row>
    <row r="180" customFormat="false" ht="15" hidden="false" customHeight="false" outlineLevel="0" collapsed="false">
      <c r="A180" s="18" t="n">
        <v>46201</v>
      </c>
      <c r="B180" s="12" t="n">
        <f aca="false">WEEKDAY(A180,2)</f>
        <v>7</v>
      </c>
      <c r="C180" s="13" t="n">
        <v>0</v>
      </c>
      <c r="D180" s="19" t="n">
        <f aca="false">C180*1</f>
        <v>0</v>
      </c>
    </row>
    <row r="181" customFormat="false" ht="15" hidden="false" customHeight="false" outlineLevel="0" collapsed="false">
      <c r="A181" s="18" t="n">
        <v>46202</v>
      </c>
      <c r="B181" s="12" t="n">
        <f aca="false">WEEKDAY(A181,2)</f>
        <v>1</v>
      </c>
      <c r="C181" s="13" t="n">
        <v>1</v>
      </c>
      <c r="D181" s="19" t="n">
        <f aca="false">C181*1</f>
        <v>1</v>
      </c>
    </row>
    <row r="182" customFormat="false" ht="15" hidden="false" customHeight="false" outlineLevel="0" collapsed="false">
      <c r="A182" s="18" t="n">
        <v>46203</v>
      </c>
      <c r="B182" s="12" t="n">
        <f aca="false">WEEKDAY(A182,2)</f>
        <v>2</v>
      </c>
      <c r="C182" s="13" t="n">
        <v>1</v>
      </c>
      <c r="D182" s="19" t="n">
        <f aca="false">C182*1</f>
        <v>1</v>
      </c>
    </row>
    <row r="183" customFormat="false" ht="15" hidden="false" customHeight="false" outlineLevel="0" collapsed="false">
      <c r="A183" s="18" t="n">
        <v>46204</v>
      </c>
      <c r="B183" s="12" t="n">
        <f aca="false">WEEKDAY(A183,2)</f>
        <v>3</v>
      </c>
      <c r="C183" s="13" t="n">
        <v>1</v>
      </c>
      <c r="D183" s="19" t="n">
        <f aca="false">C183*1</f>
        <v>1</v>
      </c>
    </row>
    <row r="184" customFormat="false" ht="15" hidden="false" customHeight="false" outlineLevel="0" collapsed="false">
      <c r="A184" s="18" t="n">
        <v>46205</v>
      </c>
      <c r="B184" s="12" t="n">
        <f aca="false">WEEKDAY(A184,2)</f>
        <v>4</v>
      </c>
      <c r="C184" s="13" t="n">
        <v>1</v>
      </c>
      <c r="D184" s="19" t="n">
        <f aca="false">C184*1</f>
        <v>1</v>
      </c>
    </row>
    <row r="185" customFormat="false" ht="15" hidden="false" customHeight="false" outlineLevel="0" collapsed="false">
      <c r="A185" s="18" t="n">
        <v>46206</v>
      </c>
      <c r="B185" s="12" t="n">
        <f aca="false">WEEKDAY(A185,2)</f>
        <v>5</v>
      </c>
      <c r="C185" s="13" t="n">
        <v>1</v>
      </c>
      <c r="D185" s="19" t="n">
        <f aca="false">C185*1</f>
        <v>1</v>
      </c>
    </row>
    <row r="186" customFormat="false" ht="15" hidden="false" customHeight="false" outlineLevel="0" collapsed="false">
      <c r="A186" s="18" t="n">
        <v>46207</v>
      </c>
      <c r="B186" s="12" t="n">
        <f aca="false">WEEKDAY(A186,2)</f>
        <v>6</v>
      </c>
      <c r="C186" s="13" t="n">
        <v>0</v>
      </c>
      <c r="D186" s="19" t="n">
        <f aca="false">C186*1</f>
        <v>0</v>
      </c>
    </row>
    <row r="187" customFormat="false" ht="15" hidden="false" customHeight="false" outlineLevel="0" collapsed="false">
      <c r="A187" s="18" t="n">
        <v>46208</v>
      </c>
      <c r="B187" s="12" t="n">
        <f aca="false">WEEKDAY(A187,2)</f>
        <v>7</v>
      </c>
      <c r="C187" s="13" t="n">
        <v>0</v>
      </c>
      <c r="D187" s="19" t="n">
        <f aca="false">C187*1</f>
        <v>0</v>
      </c>
    </row>
    <row r="188" customFormat="false" ht="15" hidden="false" customHeight="false" outlineLevel="0" collapsed="false">
      <c r="A188" s="18" t="n">
        <v>46209</v>
      </c>
      <c r="B188" s="12" t="n">
        <f aca="false">WEEKDAY(A188,2)</f>
        <v>1</v>
      </c>
      <c r="C188" s="13" t="n">
        <v>1</v>
      </c>
      <c r="D188" s="19" t="n">
        <f aca="false">C188*1</f>
        <v>1</v>
      </c>
    </row>
    <row r="189" customFormat="false" ht="15" hidden="false" customHeight="false" outlineLevel="0" collapsed="false">
      <c r="A189" s="18" t="n">
        <v>46210</v>
      </c>
      <c r="B189" s="12" t="n">
        <f aca="false">WEEKDAY(A189,2)</f>
        <v>2</v>
      </c>
      <c r="C189" s="13" t="n">
        <v>1</v>
      </c>
      <c r="D189" s="19" t="n">
        <f aca="false">C189*1</f>
        <v>1</v>
      </c>
    </row>
    <row r="190" customFormat="false" ht="15" hidden="false" customHeight="false" outlineLevel="0" collapsed="false">
      <c r="A190" s="18" t="n">
        <v>46211</v>
      </c>
      <c r="B190" s="12" t="n">
        <f aca="false">WEEKDAY(A190,2)</f>
        <v>3</v>
      </c>
      <c r="C190" s="13" t="n">
        <v>1</v>
      </c>
      <c r="D190" s="19" t="n">
        <f aca="false">C190*1</f>
        <v>1</v>
      </c>
    </row>
    <row r="191" customFormat="false" ht="15" hidden="false" customHeight="false" outlineLevel="0" collapsed="false">
      <c r="A191" s="18" t="n">
        <v>46212</v>
      </c>
      <c r="B191" s="12" t="n">
        <f aca="false">WEEKDAY(A191,2)</f>
        <v>4</v>
      </c>
      <c r="C191" s="13" t="n">
        <v>1</v>
      </c>
      <c r="D191" s="19" t="n">
        <f aca="false">C191*1</f>
        <v>1</v>
      </c>
    </row>
    <row r="192" customFormat="false" ht="15" hidden="false" customHeight="false" outlineLevel="0" collapsed="false">
      <c r="A192" s="18" t="n">
        <v>46213</v>
      </c>
      <c r="B192" s="12" t="n">
        <f aca="false">WEEKDAY(A192,2)</f>
        <v>5</v>
      </c>
      <c r="C192" s="13" t="n">
        <v>1</v>
      </c>
      <c r="D192" s="19" t="n">
        <f aca="false">C192*1</f>
        <v>1</v>
      </c>
    </row>
    <row r="193" customFormat="false" ht="15" hidden="false" customHeight="false" outlineLevel="0" collapsed="false">
      <c r="A193" s="18" t="n">
        <v>46214</v>
      </c>
      <c r="B193" s="12" t="n">
        <f aca="false">WEEKDAY(A193,2)</f>
        <v>6</v>
      </c>
      <c r="C193" s="13" t="n">
        <v>0</v>
      </c>
      <c r="D193" s="19" t="n">
        <f aca="false">C193*1</f>
        <v>0</v>
      </c>
    </row>
    <row r="194" customFormat="false" ht="15" hidden="false" customHeight="false" outlineLevel="0" collapsed="false">
      <c r="A194" s="18" t="n">
        <v>46215</v>
      </c>
      <c r="B194" s="12" t="n">
        <f aca="false">WEEKDAY(A194,2)</f>
        <v>7</v>
      </c>
      <c r="C194" s="13" t="n">
        <v>0</v>
      </c>
      <c r="D194" s="19" t="n">
        <f aca="false">C194*1</f>
        <v>0</v>
      </c>
    </row>
    <row r="195" customFormat="false" ht="15" hidden="false" customHeight="false" outlineLevel="0" collapsed="false">
      <c r="A195" s="18" t="n">
        <v>46216</v>
      </c>
      <c r="B195" s="12" t="n">
        <f aca="false">WEEKDAY(A195,2)</f>
        <v>1</v>
      </c>
      <c r="C195" s="13" t="n">
        <v>1</v>
      </c>
      <c r="D195" s="19" t="n">
        <f aca="false">C195*1</f>
        <v>1</v>
      </c>
    </row>
    <row r="196" customFormat="false" ht="15" hidden="false" customHeight="false" outlineLevel="0" collapsed="false">
      <c r="A196" s="18" t="n">
        <v>46217</v>
      </c>
      <c r="B196" s="12" t="n">
        <f aca="false">WEEKDAY(A196,2)</f>
        <v>2</v>
      </c>
      <c r="C196" s="13" t="n">
        <v>1</v>
      </c>
      <c r="D196" s="19" t="n">
        <f aca="false">C196*1</f>
        <v>1</v>
      </c>
    </row>
    <row r="197" customFormat="false" ht="15" hidden="false" customHeight="false" outlineLevel="0" collapsed="false">
      <c r="A197" s="18" t="n">
        <v>46218</v>
      </c>
      <c r="B197" s="12" t="n">
        <f aca="false">WEEKDAY(A197,2)</f>
        <v>3</v>
      </c>
      <c r="C197" s="13" t="n">
        <v>1</v>
      </c>
      <c r="D197" s="19" t="n">
        <f aca="false">C197*1</f>
        <v>1</v>
      </c>
    </row>
    <row r="198" customFormat="false" ht="15" hidden="false" customHeight="false" outlineLevel="0" collapsed="false">
      <c r="A198" s="18" t="n">
        <v>46219</v>
      </c>
      <c r="B198" s="12" t="n">
        <f aca="false">WEEKDAY(A198,2)</f>
        <v>4</v>
      </c>
      <c r="C198" s="13" t="n">
        <v>1</v>
      </c>
      <c r="D198" s="19" t="n">
        <f aca="false">C198*1</f>
        <v>1</v>
      </c>
    </row>
    <row r="199" customFormat="false" ht="15" hidden="false" customHeight="false" outlineLevel="0" collapsed="false">
      <c r="A199" s="18" t="n">
        <v>46220</v>
      </c>
      <c r="B199" s="12" t="n">
        <f aca="false">WEEKDAY(A199,2)</f>
        <v>5</v>
      </c>
      <c r="C199" s="13" t="n">
        <v>1</v>
      </c>
      <c r="D199" s="19" t="n">
        <f aca="false">C199*1</f>
        <v>1</v>
      </c>
    </row>
    <row r="200" customFormat="false" ht="15" hidden="false" customHeight="false" outlineLevel="0" collapsed="false">
      <c r="A200" s="18" t="n">
        <v>46221</v>
      </c>
      <c r="B200" s="12" t="n">
        <f aca="false">WEEKDAY(A200,2)</f>
        <v>6</v>
      </c>
      <c r="C200" s="13" t="n">
        <v>0</v>
      </c>
      <c r="D200" s="19" t="n">
        <f aca="false">C200*1</f>
        <v>0</v>
      </c>
    </row>
    <row r="201" customFormat="false" ht="15" hidden="false" customHeight="false" outlineLevel="0" collapsed="false">
      <c r="A201" s="18" t="n">
        <v>46222</v>
      </c>
      <c r="B201" s="12" t="n">
        <f aca="false">WEEKDAY(A201,2)</f>
        <v>7</v>
      </c>
      <c r="C201" s="13" t="n">
        <v>0</v>
      </c>
      <c r="D201" s="19" t="n">
        <f aca="false">C201*1</f>
        <v>0</v>
      </c>
    </row>
    <row r="202" customFormat="false" ht="15" hidden="false" customHeight="false" outlineLevel="0" collapsed="false">
      <c r="A202" s="18" t="n">
        <v>46223</v>
      </c>
      <c r="B202" s="12" t="n">
        <f aca="false">WEEKDAY(A202,2)</f>
        <v>1</v>
      </c>
      <c r="C202" s="13" t="n">
        <v>1</v>
      </c>
      <c r="D202" s="19" t="n">
        <f aca="false">C202*1</f>
        <v>1</v>
      </c>
    </row>
    <row r="203" customFormat="false" ht="15" hidden="false" customHeight="false" outlineLevel="0" collapsed="false">
      <c r="A203" s="18" t="n">
        <v>46224</v>
      </c>
      <c r="B203" s="12" t="n">
        <f aca="false">WEEKDAY(A203,2)</f>
        <v>2</v>
      </c>
      <c r="C203" s="13" t="n">
        <v>1</v>
      </c>
      <c r="D203" s="19" t="n">
        <f aca="false">C203*1</f>
        <v>1</v>
      </c>
    </row>
    <row r="204" customFormat="false" ht="15" hidden="false" customHeight="false" outlineLevel="0" collapsed="false">
      <c r="A204" s="18" t="n">
        <v>46225</v>
      </c>
      <c r="B204" s="12" t="n">
        <f aca="false">WEEKDAY(A204,2)</f>
        <v>3</v>
      </c>
      <c r="C204" s="13" t="n">
        <v>1</v>
      </c>
      <c r="D204" s="19" t="n">
        <f aca="false">C204*1</f>
        <v>1</v>
      </c>
    </row>
    <row r="205" customFormat="false" ht="15" hidden="false" customHeight="false" outlineLevel="0" collapsed="false">
      <c r="A205" s="18" t="n">
        <v>46226</v>
      </c>
      <c r="B205" s="12" t="n">
        <f aca="false">WEEKDAY(A205,2)</f>
        <v>4</v>
      </c>
      <c r="C205" s="13" t="n">
        <v>1</v>
      </c>
      <c r="D205" s="19" t="n">
        <f aca="false">C205*1</f>
        <v>1</v>
      </c>
    </row>
    <row r="206" customFormat="false" ht="15" hidden="false" customHeight="false" outlineLevel="0" collapsed="false">
      <c r="A206" s="18" t="n">
        <v>46227</v>
      </c>
      <c r="B206" s="12" t="n">
        <f aca="false">WEEKDAY(A206,2)</f>
        <v>5</v>
      </c>
      <c r="C206" s="13" t="n">
        <v>1</v>
      </c>
      <c r="D206" s="19" t="n">
        <f aca="false">C206*1</f>
        <v>1</v>
      </c>
    </row>
    <row r="207" customFormat="false" ht="15" hidden="false" customHeight="false" outlineLevel="0" collapsed="false">
      <c r="A207" s="18" t="n">
        <v>46228</v>
      </c>
      <c r="B207" s="12" t="n">
        <f aca="false">WEEKDAY(A207,2)</f>
        <v>6</v>
      </c>
      <c r="C207" s="13" t="n">
        <v>0</v>
      </c>
      <c r="D207" s="19" t="n">
        <f aca="false">C207*1</f>
        <v>0</v>
      </c>
    </row>
    <row r="208" customFormat="false" ht="15" hidden="false" customHeight="false" outlineLevel="0" collapsed="false">
      <c r="A208" s="18" t="n">
        <v>46229</v>
      </c>
      <c r="B208" s="12" t="n">
        <f aca="false">WEEKDAY(A208,2)</f>
        <v>7</v>
      </c>
      <c r="C208" s="13" t="n">
        <v>0</v>
      </c>
      <c r="D208" s="19" t="n">
        <f aca="false">C208*1</f>
        <v>0</v>
      </c>
    </row>
    <row r="209" customFormat="false" ht="15" hidden="false" customHeight="false" outlineLevel="0" collapsed="false">
      <c r="A209" s="18" t="n">
        <v>46230</v>
      </c>
      <c r="B209" s="12" t="n">
        <f aca="false">WEEKDAY(A209,2)</f>
        <v>1</v>
      </c>
      <c r="C209" s="13" t="n">
        <v>1</v>
      </c>
      <c r="D209" s="19" t="n">
        <f aca="false">C209*1</f>
        <v>1</v>
      </c>
    </row>
    <row r="210" customFormat="false" ht="15" hidden="false" customHeight="false" outlineLevel="0" collapsed="false">
      <c r="A210" s="18" t="n">
        <v>46231</v>
      </c>
      <c r="B210" s="12" t="n">
        <f aca="false">WEEKDAY(A210,2)</f>
        <v>2</v>
      </c>
      <c r="C210" s="13" t="n">
        <v>1</v>
      </c>
      <c r="D210" s="19" t="n">
        <f aca="false">C210*1</f>
        <v>1</v>
      </c>
    </row>
    <row r="211" customFormat="false" ht="15" hidden="false" customHeight="false" outlineLevel="0" collapsed="false">
      <c r="A211" s="18" t="n">
        <v>46232</v>
      </c>
      <c r="B211" s="12" t="n">
        <f aca="false">WEEKDAY(A211,2)</f>
        <v>3</v>
      </c>
      <c r="C211" s="13" t="n">
        <v>1</v>
      </c>
      <c r="D211" s="19" t="n">
        <f aca="false">C211*1</f>
        <v>1</v>
      </c>
    </row>
    <row r="212" customFormat="false" ht="15" hidden="false" customHeight="false" outlineLevel="0" collapsed="false">
      <c r="A212" s="18" t="n">
        <v>46233</v>
      </c>
      <c r="B212" s="12" t="n">
        <f aca="false">WEEKDAY(A212,2)</f>
        <v>4</v>
      </c>
      <c r="C212" s="13" t="n">
        <v>1</v>
      </c>
      <c r="D212" s="19" t="n">
        <f aca="false">C212*1</f>
        <v>1</v>
      </c>
    </row>
    <row r="213" customFormat="false" ht="15" hidden="false" customHeight="false" outlineLevel="0" collapsed="false">
      <c r="A213" s="18" t="n">
        <v>46234</v>
      </c>
      <c r="B213" s="12" t="n">
        <f aca="false">WEEKDAY(A213,2)</f>
        <v>5</v>
      </c>
      <c r="C213" s="13" t="n">
        <v>1</v>
      </c>
      <c r="D213" s="19" t="n">
        <f aca="false">C213*1</f>
        <v>1</v>
      </c>
    </row>
    <row r="214" customFormat="false" ht="15" hidden="false" customHeight="false" outlineLevel="0" collapsed="false">
      <c r="A214" s="18" t="n">
        <v>46235</v>
      </c>
      <c r="B214" s="12" t="n">
        <f aca="false">WEEKDAY(A214,2)</f>
        <v>6</v>
      </c>
      <c r="C214" s="13" t="n">
        <v>0</v>
      </c>
      <c r="D214" s="19" t="n">
        <f aca="false">C214*1</f>
        <v>0</v>
      </c>
    </row>
    <row r="215" customFormat="false" ht="15" hidden="false" customHeight="false" outlineLevel="0" collapsed="false">
      <c r="A215" s="18" t="n">
        <v>46236</v>
      </c>
      <c r="B215" s="12" t="n">
        <f aca="false">WEEKDAY(A215,2)</f>
        <v>7</v>
      </c>
      <c r="C215" s="13" t="n">
        <v>0</v>
      </c>
      <c r="D215" s="19" t="n">
        <f aca="false">C215*1</f>
        <v>0</v>
      </c>
    </row>
    <row r="216" customFormat="false" ht="15" hidden="false" customHeight="false" outlineLevel="0" collapsed="false">
      <c r="A216" s="18" t="n">
        <v>46237</v>
      </c>
      <c r="B216" s="12" t="n">
        <f aca="false">WEEKDAY(A216,2)</f>
        <v>1</v>
      </c>
      <c r="C216" s="13" t="n">
        <v>1</v>
      </c>
      <c r="D216" s="19" t="n">
        <f aca="false">C216*1</f>
        <v>1</v>
      </c>
    </row>
    <row r="217" customFormat="false" ht="15" hidden="false" customHeight="false" outlineLevel="0" collapsed="false">
      <c r="A217" s="18" t="n">
        <v>46238</v>
      </c>
      <c r="B217" s="12" t="n">
        <f aca="false">WEEKDAY(A217,2)</f>
        <v>2</v>
      </c>
      <c r="C217" s="13" t="n">
        <v>1</v>
      </c>
      <c r="D217" s="19" t="n">
        <f aca="false">C217*1</f>
        <v>1</v>
      </c>
    </row>
    <row r="218" customFormat="false" ht="15" hidden="false" customHeight="false" outlineLevel="0" collapsed="false">
      <c r="A218" s="18" t="n">
        <v>46239</v>
      </c>
      <c r="B218" s="12" t="n">
        <f aca="false">WEEKDAY(A218,2)</f>
        <v>3</v>
      </c>
      <c r="C218" s="13" t="n">
        <v>1</v>
      </c>
      <c r="D218" s="19" t="n">
        <f aca="false">C218*1</f>
        <v>1</v>
      </c>
    </row>
    <row r="219" customFormat="false" ht="15" hidden="false" customHeight="false" outlineLevel="0" collapsed="false">
      <c r="A219" s="18" t="n">
        <v>46240</v>
      </c>
      <c r="B219" s="12" t="n">
        <f aca="false">WEEKDAY(A219,2)</f>
        <v>4</v>
      </c>
      <c r="C219" s="13" t="n">
        <v>1</v>
      </c>
      <c r="D219" s="19" t="n">
        <f aca="false">C219*1</f>
        <v>1</v>
      </c>
    </row>
    <row r="220" customFormat="false" ht="15" hidden="false" customHeight="false" outlineLevel="0" collapsed="false">
      <c r="A220" s="18" t="n">
        <v>46241</v>
      </c>
      <c r="B220" s="12" t="n">
        <f aca="false">WEEKDAY(A220,2)</f>
        <v>5</v>
      </c>
      <c r="C220" s="13" t="n">
        <v>1</v>
      </c>
      <c r="D220" s="19" t="n">
        <f aca="false">C220*1</f>
        <v>1</v>
      </c>
    </row>
    <row r="221" customFormat="false" ht="15" hidden="false" customHeight="false" outlineLevel="0" collapsed="false">
      <c r="A221" s="18" t="n">
        <v>46242</v>
      </c>
      <c r="B221" s="12" t="n">
        <f aca="false">WEEKDAY(A221,2)</f>
        <v>6</v>
      </c>
      <c r="C221" s="13" t="n">
        <v>0</v>
      </c>
      <c r="D221" s="19" t="n">
        <f aca="false">C221*1</f>
        <v>0</v>
      </c>
    </row>
    <row r="222" customFormat="false" ht="15" hidden="false" customHeight="false" outlineLevel="0" collapsed="false">
      <c r="A222" s="18" t="n">
        <v>46243</v>
      </c>
      <c r="B222" s="12" t="n">
        <f aca="false">WEEKDAY(A222,2)</f>
        <v>7</v>
      </c>
      <c r="C222" s="13" t="n">
        <v>0</v>
      </c>
      <c r="D222" s="19" t="n">
        <f aca="false">C222*1</f>
        <v>0</v>
      </c>
    </row>
    <row r="223" customFormat="false" ht="15" hidden="false" customHeight="false" outlineLevel="0" collapsed="false">
      <c r="A223" s="18" t="n">
        <v>46244</v>
      </c>
      <c r="B223" s="12" t="n">
        <f aca="false">WEEKDAY(A223,2)</f>
        <v>1</v>
      </c>
      <c r="C223" s="13" t="n">
        <v>1</v>
      </c>
      <c r="D223" s="19" t="n">
        <f aca="false">C223*1</f>
        <v>1</v>
      </c>
    </row>
    <row r="224" customFormat="false" ht="15" hidden="false" customHeight="false" outlineLevel="0" collapsed="false">
      <c r="A224" s="18" t="n">
        <v>46245</v>
      </c>
      <c r="B224" s="12" t="n">
        <f aca="false">WEEKDAY(A224,2)</f>
        <v>2</v>
      </c>
      <c r="C224" s="13" t="n">
        <v>1</v>
      </c>
      <c r="D224" s="19" t="n">
        <f aca="false">C224*1</f>
        <v>1</v>
      </c>
    </row>
    <row r="225" customFormat="false" ht="15" hidden="false" customHeight="false" outlineLevel="0" collapsed="false">
      <c r="A225" s="18" t="n">
        <v>46246</v>
      </c>
      <c r="B225" s="12" t="n">
        <f aca="false">WEEKDAY(A225,2)</f>
        <v>3</v>
      </c>
      <c r="C225" s="13" t="n">
        <v>1</v>
      </c>
      <c r="D225" s="19" t="n">
        <f aca="false">C225*1</f>
        <v>1</v>
      </c>
    </row>
    <row r="226" customFormat="false" ht="15" hidden="false" customHeight="false" outlineLevel="0" collapsed="false">
      <c r="A226" s="18" t="n">
        <v>46247</v>
      </c>
      <c r="B226" s="12" t="n">
        <f aca="false">WEEKDAY(A226,2)</f>
        <v>4</v>
      </c>
      <c r="C226" s="13" t="n">
        <v>1</v>
      </c>
      <c r="D226" s="19" t="n">
        <f aca="false">C226*1</f>
        <v>1</v>
      </c>
    </row>
    <row r="227" customFormat="false" ht="15" hidden="false" customHeight="false" outlineLevel="0" collapsed="false">
      <c r="A227" s="18" t="n">
        <v>46248</v>
      </c>
      <c r="B227" s="12" t="n">
        <f aca="false">WEEKDAY(A227,2)</f>
        <v>5</v>
      </c>
      <c r="C227" s="13" t="n">
        <v>1</v>
      </c>
      <c r="D227" s="19" t="n">
        <f aca="false">C227*1</f>
        <v>1</v>
      </c>
    </row>
    <row r="228" customFormat="false" ht="15" hidden="false" customHeight="false" outlineLevel="0" collapsed="false">
      <c r="A228" s="18" t="n">
        <v>46249</v>
      </c>
      <c r="B228" s="12" t="n">
        <f aca="false">WEEKDAY(A228,2)</f>
        <v>6</v>
      </c>
      <c r="C228" s="13" t="n">
        <v>0</v>
      </c>
      <c r="D228" s="19" t="n">
        <f aca="false">C228*1</f>
        <v>0</v>
      </c>
    </row>
    <row r="229" customFormat="false" ht="15" hidden="false" customHeight="false" outlineLevel="0" collapsed="false">
      <c r="A229" s="18" t="n">
        <v>46250</v>
      </c>
      <c r="B229" s="12" t="n">
        <f aca="false">WEEKDAY(A229,2)</f>
        <v>7</v>
      </c>
      <c r="C229" s="13" t="n">
        <v>0</v>
      </c>
      <c r="D229" s="19" t="n">
        <f aca="false">C229*1</f>
        <v>0</v>
      </c>
    </row>
    <row r="230" customFormat="false" ht="15" hidden="false" customHeight="false" outlineLevel="0" collapsed="false">
      <c r="A230" s="18" t="n">
        <v>46251</v>
      </c>
      <c r="B230" s="12" t="n">
        <f aca="false">WEEKDAY(A230,2)</f>
        <v>1</v>
      </c>
      <c r="C230" s="13" t="n">
        <v>1</v>
      </c>
      <c r="D230" s="19" t="n">
        <f aca="false">C230*1</f>
        <v>1</v>
      </c>
    </row>
    <row r="231" customFormat="false" ht="15" hidden="false" customHeight="false" outlineLevel="0" collapsed="false">
      <c r="A231" s="18" t="n">
        <v>46252</v>
      </c>
      <c r="B231" s="12" t="n">
        <f aca="false">WEEKDAY(A231,2)</f>
        <v>2</v>
      </c>
      <c r="C231" s="13" t="n">
        <v>1</v>
      </c>
      <c r="D231" s="19" t="n">
        <f aca="false">C231*1</f>
        <v>1</v>
      </c>
    </row>
    <row r="232" customFormat="false" ht="15" hidden="false" customHeight="false" outlineLevel="0" collapsed="false">
      <c r="A232" s="18" t="n">
        <v>46253</v>
      </c>
      <c r="B232" s="12" t="n">
        <f aca="false">WEEKDAY(A232,2)</f>
        <v>3</v>
      </c>
      <c r="C232" s="13" t="n">
        <v>1</v>
      </c>
      <c r="D232" s="19" t="n">
        <f aca="false">C232*1</f>
        <v>1</v>
      </c>
    </row>
    <row r="233" customFormat="false" ht="15" hidden="false" customHeight="false" outlineLevel="0" collapsed="false">
      <c r="A233" s="18" t="n">
        <v>46254</v>
      </c>
      <c r="B233" s="12" t="n">
        <f aca="false">WEEKDAY(A233,2)</f>
        <v>4</v>
      </c>
      <c r="C233" s="13" t="n">
        <v>1</v>
      </c>
      <c r="D233" s="19" t="n">
        <f aca="false">C233*1</f>
        <v>1</v>
      </c>
    </row>
    <row r="234" customFormat="false" ht="15" hidden="false" customHeight="false" outlineLevel="0" collapsed="false">
      <c r="A234" s="18" t="n">
        <v>46255</v>
      </c>
      <c r="B234" s="12" t="n">
        <f aca="false">WEEKDAY(A234,2)</f>
        <v>5</v>
      </c>
      <c r="C234" s="13" t="n">
        <v>1</v>
      </c>
      <c r="D234" s="19" t="n">
        <f aca="false">C234*1</f>
        <v>1</v>
      </c>
    </row>
    <row r="235" customFormat="false" ht="15" hidden="false" customHeight="false" outlineLevel="0" collapsed="false">
      <c r="A235" s="18" t="n">
        <v>46256</v>
      </c>
      <c r="B235" s="12" t="n">
        <f aca="false">WEEKDAY(A235,2)</f>
        <v>6</v>
      </c>
      <c r="C235" s="13" t="n">
        <v>0</v>
      </c>
      <c r="D235" s="19" t="n">
        <f aca="false">C235*1</f>
        <v>0</v>
      </c>
    </row>
    <row r="236" customFormat="false" ht="15" hidden="false" customHeight="false" outlineLevel="0" collapsed="false">
      <c r="A236" s="18" t="n">
        <v>46257</v>
      </c>
      <c r="B236" s="12" t="n">
        <f aca="false">WEEKDAY(A236,2)</f>
        <v>7</v>
      </c>
      <c r="C236" s="13" t="n">
        <v>0</v>
      </c>
      <c r="D236" s="19" t="n">
        <f aca="false">C236*1</f>
        <v>0</v>
      </c>
    </row>
    <row r="237" customFormat="false" ht="15" hidden="false" customHeight="false" outlineLevel="0" collapsed="false">
      <c r="A237" s="18" t="n">
        <v>46258</v>
      </c>
      <c r="B237" s="12" t="n">
        <f aca="false">WEEKDAY(A237,2)</f>
        <v>1</v>
      </c>
      <c r="C237" s="13" t="n">
        <v>1</v>
      </c>
      <c r="D237" s="19" t="n">
        <f aca="false">C237*1</f>
        <v>1</v>
      </c>
    </row>
    <row r="238" customFormat="false" ht="15" hidden="false" customHeight="false" outlineLevel="0" collapsed="false">
      <c r="A238" s="18" t="n">
        <v>46259</v>
      </c>
      <c r="B238" s="12" t="n">
        <f aca="false">WEEKDAY(A238,2)</f>
        <v>2</v>
      </c>
      <c r="C238" s="13" t="n">
        <v>1</v>
      </c>
      <c r="D238" s="19" t="n">
        <f aca="false">C238*1</f>
        <v>1</v>
      </c>
    </row>
    <row r="239" customFormat="false" ht="15" hidden="false" customHeight="false" outlineLevel="0" collapsed="false">
      <c r="A239" s="18" t="n">
        <v>46260</v>
      </c>
      <c r="B239" s="12" t="n">
        <f aca="false">WEEKDAY(A239,2)</f>
        <v>3</v>
      </c>
      <c r="C239" s="13" t="n">
        <v>1</v>
      </c>
      <c r="D239" s="19" t="n">
        <f aca="false">C239*1</f>
        <v>1</v>
      </c>
    </row>
    <row r="240" customFormat="false" ht="15" hidden="false" customHeight="false" outlineLevel="0" collapsed="false">
      <c r="A240" s="18" t="n">
        <v>46261</v>
      </c>
      <c r="B240" s="12" t="n">
        <f aca="false">WEEKDAY(A240,2)</f>
        <v>4</v>
      </c>
      <c r="C240" s="13" t="n">
        <v>1</v>
      </c>
      <c r="D240" s="19" t="n">
        <f aca="false">C240*1</f>
        <v>1</v>
      </c>
    </row>
    <row r="241" customFormat="false" ht="15" hidden="false" customHeight="false" outlineLevel="0" collapsed="false">
      <c r="A241" s="18" t="n">
        <v>46262</v>
      </c>
      <c r="B241" s="12" t="n">
        <f aca="false">WEEKDAY(A241,2)</f>
        <v>5</v>
      </c>
      <c r="C241" s="13" t="n">
        <v>1</v>
      </c>
      <c r="D241" s="19" t="n">
        <f aca="false">C241*1</f>
        <v>1</v>
      </c>
    </row>
    <row r="242" customFormat="false" ht="15" hidden="false" customHeight="false" outlineLevel="0" collapsed="false">
      <c r="A242" s="18" t="n">
        <v>46263</v>
      </c>
      <c r="B242" s="12" t="n">
        <f aca="false">WEEKDAY(A242,2)</f>
        <v>6</v>
      </c>
      <c r="C242" s="13" t="n">
        <v>0</v>
      </c>
      <c r="D242" s="19" t="n">
        <f aca="false">C242*1</f>
        <v>0</v>
      </c>
    </row>
    <row r="243" customFormat="false" ht="15" hidden="false" customHeight="false" outlineLevel="0" collapsed="false">
      <c r="A243" s="18" t="n">
        <v>46264</v>
      </c>
      <c r="B243" s="12" t="n">
        <f aca="false">WEEKDAY(A243,2)</f>
        <v>7</v>
      </c>
      <c r="C243" s="13" t="n">
        <v>0</v>
      </c>
      <c r="D243" s="19" t="n">
        <f aca="false">C243*1</f>
        <v>0</v>
      </c>
    </row>
    <row r="244" customFormat="false" ht="15" hidden="false" customHeight="false" outlineLevel="0" collapsed="false">
      <c r="A244" s="18" t="n">
        <v>46265</v>
      </c>
      <c r="B244" s="12" t="n">
        <f aca="false">WEEKDAY(A244,2)</f>
        <v>1</v>
      </c>
      <c r="C244" s="13" t="n">
        <v>1</v>
      </c>
      <c r="D244" s="19" t="n">
        <f aca="false">C244*1</f>
        <v>1</v>
      </c>
    </row>
    <row r="245" customFormat="false" ht="15" hidden="false" customHeight="false" outlineLevel="0" collapsed="false">
      <c r="A245" s="18" t="n">
        <v>46266</v>
      </c>
      <c r="B245" s="12" t="n">
        <f aca="false">WEEKDAY(A245,2)</f>
        <v>2</v>
      </c>
      <c r="C245" s="13" t="n">
        <v>1</v>
      </c>
      <c r="D245" s="19" t="n">
        <f aca="false">C245*1</f>
        <v>1</v>
      </c>
    </row>
    <row r="246" customFormat="false" ht="15" hidden="false" customHeight="false" outlineLevel="0" collapsed="false">
      <c r="A246" s="18" t="n">
        <v>46267</v>
      </c>
      <c r="B246" s="12" t="n">
        <f aca="false">WEEKDAY(A246,2)</f>
        <v>3</v>
      </c>
      <c r="C246" s="13" t="n">
        <v>1</v>
      </c>
      <c r="D246" s="19" t="n">
        <f aca="false">C246*1</f>
        <v>1</v>
      </c>
    </row>
    <row r="247" customFormat="false" ht="15" hidden="false" customHeight="false" outlineLevel="0" collapsed="false">
      <c r="A247" s="18" t="n">
        <v>46268</v>
      </c>
      <c r="B247" s="12" t="n">
        <f aca="false">WEEKDAY(A247,2)</f>
        <v>4</v>
      </c>
      <c r="C247" s="13" t="n">
        <v>1</v>
      </c>
      <c r="D247" s="19" t="n">
        <f aca="false">C247*1</f>
        <v>1</v>
      </c>
    </row>
    <row r="248" customFormat="false" ht="15" hidden="false" customHeight="false" outlineLevel="0" collapsed="false">
      <c r="A248" s="18" t="n">
        <v>46269</v>
      </c>
      <c r="B248" s="12" t="n">
        <f aca="false">WEEKDAY(A248,2)</f>
        <v>5</v>
      </c>
      <c r="C248" s="13" t="n">
        <v>1</v>
      </c>
      <c r="D248" s="19" t="n">
        <f aca="false">C248*1</f>
        <v>1</v>
      </c>
    </row>
    <row r="249" customFormat="false" ht="15" hidden="false" customHeight="false" outlineLevel="0" collapsed="false">
      <c r="A249" s="18" t="n">
        <v>46270</v>
      </c>
      <c r="B249" s="12" t="n">
        <f aca="false">WEEKDAY(A249,2)</f>
        <v>6</v>
      </c>
      <c r="C249" s="13" t="n">
        <v>0</v>
      </c>
      <c r="D249" s="19" t="n">
        <f aca="false">C249*1</f>
        <v>0</v>
      </c>
    </row>
    <row r="250" customFormat="false" ht="15" hidden="false" customHeight="false" outlineLevel="0" collapsed="false">
      <c r="A250" s="18" t="n">
        <v>46271</v>
      </c>
      <c r="B250" s="12" t="n">
        <f aca="false">WEEKDAY(A250,2)</f>
        <v>7</v>
      </c>
      <c r="C250" s="13" t="n">
        <v>0</v>
      </c>
      <c r="D250" s="19" t="n">
        <f aca="false">C250*1</f>
        <v>0</v>
      </c>
    </row>
    <row r="251" customFormat="false" ht="15" hidden="false" customHeight="false" outlineLevel="0" collapsed="false">
      <c r="A251" s="18" t="n">
        <v>46272</v>
      </c>
      <c r="B251" s="12" t="n">
        <f aca="false">WEEKDAY(A251,2)</f>
        <v>1</v>
      </c>
      <c r="C251" s="13" t="n">
        <v>1</v>
      </c>
      <c r="D251" s="19" t="n">
        <f aca="false">C251*1</f>
        <v>1</v>
      </c>
    </row>
    <row r="252" customFormat="false" ht="15" hidden="false" customHeight="false" outlineLevel="0" collapsed="false">
      <c r="A252" s="18" t="n">
        <v>46273</v>
      </c>
      <c r="B252" s="12" t="n">
        <f aca="false">WEEKDAY(A252,2)</f>
        <v>2</v>
      </c>
      <c r="C252" s="13" t="n">
        <v>1</v>
      </c>
      <c r="D252" s="19" t="n">
        <f aca="false">C252*1</f>
        <v>1</v>
      </c>
    </row>
    <row r="253" customFormat="false" ht="15" hidden="false" customHeight="false" outlineLevel="0" collapsed="false">
      <c r="A253" s="18" t="n">
        <v>46274</v>
      </c>
      <c r="B253" s="12" t="n">
        <f aca="false">WEEKDAY(A253,2)</f>
        <v>3</v>
      </c>
      <c r="C253" s="13" t="n">
        <v>1</v>
      </c>
      <c r="D253" s="19" t="n">
        <f aca="false">C253*1</f>
        <v>1</v>
      </c>
    </row>
    <row r="254" customFormat="false" ht="15" hidden="false" customHeight="false" outlineLevel="0" collapsed="false">
      <c r="A254" s="18" t="n">
        <v>46275</v>
      </c>
      <c r="B254" s="12" t="n">
        <f aca="false">WEEKDAY(A254,2)</f>
        <v>4</v>
      </c>
      <c r="C254" s="13" t="n">
        <v>1</v>
      </c>
      <c r="D254" s="19" t="n">
        <f aca="false">C254*1</f>
        <v>1</v>
      </c>
    </row>
    <row r="255" customFormat="false" ht="15" hidden="false" customHeight="false" outlineLevel="0" collapsed="false">
      <c r="A255" s="18" t="n">
        <v>46276</v>
      </c>
      <c r="B255" s="12" t="n">
        <f aca="false">WEEKDAY(A255,2)</f>
        <v>5</v>
      </c>
      <c r="C255" s="13" t="n">
        <v>1</v>
      </c>
      <c r="D255" s="19" t="n">
        <f aca="false">C255*1</f>
        <v>1</v>
      </c>
    </row>
    <row r="256" customFormat="false" ht="15" hidden="false" customHeight="false" outlineLevel="0" collapsed="false">
      <c r="A256" s="18" t="n">
        <v>46277</v>
      </c>
      <c r="B256" s="12" t="n">
        <f aca="false">WEEKDAY(A256,2)</f>
        <v>6</v>
      </c>
      <c r="C256" s="13" t="n">
        <v>0</v>
      </c>
      <c r="D256" s="19" t="n">
        <f aca="false">C256*1</f>
        <v>0</v>
      </c>
    </row>
    <row r="257" customFormat="false" ht="15" hidden="false" customHeight="false" outlineLevel="0" collapsed="false">
      <c r="A257" s="18" t="n">
        <v>46278</v>
      </c>
      <c r="B257" s="12" t="n">
        <f aca="false">WEEKDAY(A257,2)</f>
        <v>7</v>
      </c>
      <c r="C257" s="13" t="n">
        <v>0</v>
      </c>
      <c r="D257" s="19" t="n">
        <f aca="false">C257*1</f>
        <v>0</v>
      </c>
    </row>
    <row r="258" customFormat="false" ht="15" hidden="false" customHeight="false" outlineLevel="0" collapsed="false">
      <c r="A258" s="18" t="n">
        <v>46279</v>
      </c>
      <c r="B258" s="12" t="n">
        <f aca="false">WEEKDAY(A258,2)</f>
        <v>1</v>
      </c>
      <c r="C258" s="13" t="n">
        <v>1</v>
      </c>
      <c r="D258" s="19" t="n">
        <f aca="false">C258*1</f>
        <v>1</v>
      </c>
    </row>
    <row r="259" customFormat="false" ht="15" hidden="false" customHeight="false" outlineLevel="0" collapsed="false">
      <c r="A259" s="18" t="n">
        <v>46280</v>
      </c>
      <c r="B259" s="12" t="n">
        <f aca="false">WEEKDAY(A259,2)</f>
        <v>2</v>
      </c>
      <c r="C259" s="13" t="n">
        <v>1</v>
      </c>
      <c r="D259" s="19" t="n">
        <f aca="false">C259*1</f>
        <v>1</v>
      </c>
    </row>
    <row r="260" customFormat="false" ht="15" hidden="false" customHeight="false" outlineLevel="0" collapsed="false">
      <c r="A260" s="18" t="n">
        <v>46281</v>
      </c>
      <c r="B260" s="12" t="n">
        <f aca="false">WEEKDAY(A260,2)</f>
        <v>3</v>
      </c>
      <c r="C260" s="13" t="n">
        <v>1</v>
      </c>
      <c r="D260" s="19" t="n">
        <f aca="false">C260*1</f>
        <v>1</v>
      </c>
    </row>
    <row r="261" customFormat="false" ht="15" hidden="false" customHeight="false" outlineLevel="0" collapsed="false">
      <c r="A261" s="18" t="n">
        <v>46282</v>
      </c>
      <c r="B261" s="12" t="n">
        <f aca="false">WEEKDAY(A261,2)</f>
        <v>4</v>
      </c>
      <c r="C261" s="13" t="n">
        <v>1</v>
      </c>
      <c r="D261" s="19" t="n">
        <f aca="false">C261*1</f>
        <v>1</v>
      </c>
    </row>
    <row r="262" customFormat="false" ht="15" hidden="false" customHeight="false" outlineLevel="0" collapsed="false">
      <c r="A262" s="18" t="n">
        <v>46283</v>
      </c>
      <c r="B262" s="12" t="n">
        <f aca="false">WEEKDAY(A262,2)</f>
        <v>5</v>
      </c>
      <c r="C262" s="13" t="n">
        <v>1</v>
      </c>
      <c r="D262" s="19" t="n">
        <f aca="false">C262*1</f>
        <v>1</v>
      </c>
    </row>
    <row r="263" customFormat="false" ht="15" hidden="false" customHeight="false" outlineLevel="0" collapsed="false">
      <c r="A263" s="18" t="n">
        <v>46284</v>
      </c>
      <c r="B263" s="12" t="n">
        <f aca="false">WEEKDAY(A263,2)</f>
        <v>6</v>
      </c>
      <c r="C263" s="13" t="n">
        <v>0</v>
      </c>
      <c r="D263" s="19" t="n">
        <f aca="false">C263*1</f>
        <v>0</v>
      </c>
    </row>
    <row r="264" customFormat="false" ht="15" hidden="false" customHeight="false" outlineLevel="0" collapsed="false">
      <c r="A264" s="18" t="n">
        <v>46285</v>
      </c>
      <c r="B264" s="12" t="n">
        <f aca="false">WEEKDAY(A264,2)</f>
        <v>7</v>
      </c>
      <c r="C264" s="13" t="n">
        <v>0</v>
      </c>
      <c r="D264" s="19" t="n">
        <f aca="false">C264*1</f>
        <v>0</v>
      </c>
    </row>
    <row r="265" customFormat="false" ht="15" hidden="false" customHeight="false" outlineLevel="0" collapsed="false">
      <c r="A265" s="18" t="n">
        <v>46286</v>
      </c>
      <c r="B265" s="12" t="n">
        <f aca="false">WEEKDAY(A265,2)</f>
        <v>1</v>
      </c>
      <c r="C265" s="13" t="n">
        <v>1</v>
      </c>
      <c r="D265" s="19" t="n">
        <f aca="false">C265*1</f>
        <v>1</v>
      </c>
    </row>
    <row r="266" customFormat="false" ht="15" hidden="false" customHeight="false" outlineLevel="0" collapsed="false">
      <c r="A266" s="18" t="n">
        <v>46287</v>
      </c>
      <c r="B266" s="12" t="n">
        <f aca="false">WEEKDAY(A266,2)</f>
        <v>2</v>
      </c>
      <c r="C266" s="13" t="n">
        <v>1</v>
      </c>
      <c r="D266" s="19" t="n">
        <f aca="false">C266*1</f>
        <v>1</v>
      </c>
    </row>
    <row r="267" customFormat="false" ht="15" hidden="false" customHeight="false" outlineLevel="0" collapsed="false">
      <c r="A267" s="18" t="n">
        <v>46288</v>
      </c>
      <c r="B267" s="12" t="n">
        <f aca="false">WEEKDAY(A267,2)</f>
        <v>3</v>
      </c>
      <c r="C267" s="13" t="n">
        <v>1</v>
      </c>
      <c r="D267" s="19" t="n">
        <f aca="false">C267*1</f>
        <v>1</v>
      </c>
    </row>
    <row r="268" customFormat="false" ht="15" hidden="false" customHeight="false" outlineLevel="0" collapsed="false">
      <c r="A268" s="18" t="n">
        <v>46289</v>
      </c>
      <c r="B268" s="12" t="n">
        <f aca="false">WEEKDAY(A268,2)</f>
        <v>4</v>
      </c>
      <c r="C268" s="13" t="n">
        <v>1</v>
      </c>
      <c r="D268" s="19" t="n">
        <f aca="false">C268*1</f>
        <v>1</v>
      </c>
    </row>
    <row r="269" customFormat="false" ht="15" hidden="false" customHeight="false" outlineLevel="0" collapsed="false">
      <c r="A269" s="18" t="n">
        <v>46290</v>
      </c>
      <c r="B269" s="12" t="n">
        <f aca="false">WEEKDAY(A269,2)</f>
        <v>5</v>
      </c>
      <c r="C269" s="13" t="n">
        <v>1</v>
      </c>
      <c r="D269" s="19" t="n">
        <f aca="false">C269*1</f>
        <v>1</v>
      </c>
    </row>
    <row r="270" customFormat="false" ht="15" hidden="false" customHeight="false" outlineLevel="0" collapsed="false">
      <c r="A270" s="18" t="n">
        <v>46291</v>
      </c>
      <c r="B270" s="12" t="n">
        <f aca="false">WEEKDAY(A270,2)</f>
        <v>6</v>
      </c>
      <c r="C270" s="13" t="n">
        <v>0</v>
      </c>
      <c r="D270" s="19" t="n">
        <f aca="false">C270*1</f>
        <v>0</v>
      </c>
    </row>
    <row r="271" customFormat="false" ht="15" hidden="false" customHeight="false" outlineLevel="0" collapsed="false">
      <c r="A271" s="18" t="n">
        <v>46292</v>
      </c>
      <c r="B271" s="12" t="n">
        <f aca="false">WEEKDAY(A271,2)</f>
        <v>7</v>
      </c>
      <c r="C271" s="13" t="n">
        <v>0</v>
      </c>
      <c r="D271" s="19" t="n">
        <f aca="false">C271*1</f>
        <v>0</v>
      </c>
    </row>
    <row r="272" customFormat="false" ht="15" hidden="false" customHeight="false" outlineLevel="0" collapsed="false">
      <c r="A272" s="18" t="n">
        <v>46293</v>
      </c>
      <c r="B272" s="12" t="n">
        <f aca="false">WEEKDAY(A272,2)</f>
        <v>1</v>
      </c>
      <c r="C272" s="13" t="n">
        <v>1</v>
      </c>
      <c r="D272" s="19" t="n">
        <f aca="false">C272*1</f>
        <v>1</v>
      </c>
    </row>
    <row r="273" customFormat="false" ht="15" hidden="false" customHeight="false" outlineLevel="0" collapsed="false">
      <c r="A273" s="18" t="n">
        <v>46294</v>
      </c>
      <c r="B273" s="12" t="n">
        <f aca="false">WEEKDAY(A273,2)</f>
        <v>2</v>
      </c>
      <c r="C273" s="13" t="n">
        <v>1</v>
      </c>
      <c r="D273" s="19" t="n">
        <f aca="false">C273*1</f>
        <v>1</v>
      </c>
    </row>
    <row r="274" customFormat="false" ht="15" hidden="false" customHeight="false" outlineLevel="0" collapsed="false">
      <c r="A274" s="18" t="n">
        <v>46295</v>
      </c>
      <c r="B274" s="12" t="n">
        <f aca="false">WEEKDAY(A274,2)</f>
        <v>3</v>
      </c>
      <c r="C274" s="13" t="n">
        <v>1</v>
      </c>
      <c r="D274" s="19" t="n">
        <f aca="false">C274*1</f>
        <v>1</v>
      </c>
    </row>
    <row r="275" customFormat="false" ht="15" hidden="false" customHeight="false" outlineLevel="0" collapsed="false">
      <c r="A275" s="18" t="n">
        <v>46296</v>
      </c>
      <c r="B275" s="12" t="n">
        <f aca="false">WEEKDAY(A275,2)</f>
        <v>4</v>
      </c>
      <c r="C275" s="13" t="n">
        <v>1</v>
      </c>
      <c r="D275" s="19" t="n">
        <f aca="false">C275*1</f>
        <v>1</v>
      </c>
    </row>
    <row r="276" customFormat="false" ht="15" hidden="false" customHeight="false" outlineLevel="0" collapsed="false">
      <c r="A276" s="18" t="n">
        <v>46297</v>
      </c>
      <c r="B276" s="12" t="n">
        <f aca="false">WEEKDAY(A276,2)</f>
        <v>5</v>
      </c>
      <c r="C276" s="13" t="n">
        <v>1</v>
      </c>
      <c r="D276" s="19" t="n">
        <f aca="false">C276*1</f>
        <v>1</v>
      </c>
    </row>
    <row r="277" customFormat="false" ht="15" hidden="false" customHeight="false" outlineLevel="0" collapsed="false">
      <c r="A277" s="18" t="n">
        <v>46298</v>
      </c>
      <c r="B277" s="12" t="n">
        <f aca="false">WEEKDAY(A277,2)</f>
        <v>6</v>
      </c>
      <c r="C277" s="13" t="n">
        <v>0</v>
      </c>
      <c r="D277" s="19" t="n">
        <f aca="false">C277*1</f>
        <v>0</v>
      </c>
    </row>
    <row r="278" customFormat="false" ht="15" hidden="false" customHeight="false" outlineLevel="0" collapsed="false">
      <c r="A278" s="18" t="n">
        <v>46299</v>
      </c>
      <c r="B278" s="12" t="n">
        <f aca="false">WEEKDAY(A278,2)</f>
        <v>7</v>
      </c>
      <c r="C278" s="13" t="n">
        <v>0</v>
      </c>
      <c r="D278" s="19" t="n">
        <f aca="false">C278*1</f>
        <v>0</v>
      </c>
    </row>
    <row r="279" customFormat="false" ht="15" hidden="false" customHeight="false" outlineLevel="0" collapsed="false">
      <c r="A279" s="18" t="n">
        <v>46300</v>
      </c>
      <c r="B279" s="12" t="n">
        <f aca="false">WEEKDAY(A279,2)</f>
        <v>1</v>
      </c>
      <c r="C279" s="13" t="n">
        <v>1</v>
      </c>
      <c r="D279" s="19" t="n">
        <f aca="false">C279*1</f>
        <v>1</v>
      </c>
    </row>
    <row r="280" customFormat="false" ht="15" hidden="false" customHeight="false" outlineLevel="0" collapsed="false">
      <c r="A280" s="18" t="n">
        <v>46301</v>
      </c>
      <c r="B280" s="12" t="n">
        <f aca="false">WEEKDAY(A280,2)</f>
        <v>2</v>
      </c>
      <c r="C280" s="13" t="n">
        <v>1</v>
      </c>
      <c r="D280" s="19" t="n">
        <f aca="false">C280*1</f>
        <v>1</v>
      </c>
    </row>
    <row r="281" customFormat="false" ht="15" hidden="false" customHeight="false" outlineLevel="0" collapsed="false">
      <c r="A281" s="18" t="n">
        <v>46302</v>
      </c>
      <c r="B281" s="12" t="n">
        <f aca="false">WEEKDAY(A281,2)</f>
        <v>3</v>
      </c>
      <c r="C281" s="13" t="n">
        <v>1</v>
      </c>
      <c r="D281" s="19" t="n">
        <f aca="false">C281*1</f>
        <v>1</v>
      </c>
    </row>
    <row r="282" customFormat="false" ht="15" hidden="false" customHeight="false" outlineLevel="0" collapsed="false">
      <c r="A282" s="18" t="n">
        <v>46303</v>
      </c>
      <c r="B282" s="12" t="n">
        <f aca="false">WEEKDAY(A282,2)</f>
        <v>4</v>
      </c>
      <c r="C282" s="13" t="n">
        <v>1</v>
      </c>
      <c r="D282" s="19" t="n">
        <f aca="false">C282*1</f>
        <v>1</v>
      </c>
    </row>
    <row r="283" customFormat="false" ht="15" hidden="false" customHeight="false" outlineLevel="0" collapsed="false">
      <c r="A283" s="18" t="n">
        <v>46304</v>
      </c>
      <c r="B283" s="12" t="n">
        <f aca="false">WEEKDAY(A283,2)</f>
        <v>5</v>
      </c>
      <c r="C283" s="13" t="n">
        <v>1</v>
      </c>
      <c r="D283" s="19" t="n">
        <f aca="false">C283*1</f>
        <v>1</v>
      </c>
    </row>
    <row r="284" customFormat="false" ht="15" hidden="false" customHeight="false" outlineLevel="0" collapsed="false">
      <c r="A284" s="18" t="n">
        <v>46305</v>
      </c>
      <c r="B284" s="12" t="n">
        <f aca="false">WEEKDAY(A284,2)</f>
        <v>6</v>
      </c>
      <c r="C284" s="13" t="n">
        <v>0</v>
      </c>
      <c r="D284" s="19" t="n">
        <f aca="false">C284*1</f>
        <v>0</v>
      </c>
    </row>
    <row r="285" customFormat="false" ht="15" hidden="false" customHeight="false" outlineLevel="0" collapsed="false">
      <c r="A285" s="18" t="n">
        <v>46306</v>
      </c>
      <c r="B285" s="12" t="n">
        <f aca="false">WEEKDAY(A285,2)</f>
        <v>7</v>
      </c>
      <c r="C285" s="13" t="n">
        <v>0</v>
      </c>
      <c r="D285" s="19" t="n">
        <f aca="false">C285*1</f>
        <v>0</v>
      </c>
    </row>
    <row r="286" customFormat="false" ht="15" hidden="false" customHeight="false" outlineLevel="0" collapsed="false">
      <c r="A286" s="18" t="n">
        <v>46307</v>
      </c>
      <c r="B286" s="12" t="n">
        <f aca="false">WEEKDAY(A286,2)</f>
        <v>1</v>
      </c>
      <c r="C286" s="13" t="n">
        <v>1</v>
      </c>
      <c r="D286" s="19" t="n">
        <f aca="false">C286*1</f>
        <v>1</v>
      </c>
    </row>
    <row r="287" customFormat="false" ht="15" hidden="false" customHeight="false" outlineLevel="0" collapsed="false">
      <c r="A287" s="18" t="n">
        <v>46308</v>
      </c>
      <c r="B287" s="12" t="n">
        <f aca="false">WEEKDAY(A287,2)</f>
        <v>2</v>
      </c>
      <c r="C287" s="13" t="n">
        <v>1</v>
      </c>
      <c r="D287" s="19" t="n">
        <f aca="false">C287*1</f>
        <v>1</v>
      </c>
    </row>
    <row r="288" customFormat="false" ht="15" hidden="false" customHeight="false" outlineLevel="0" collapsed="false">
      <c r="A288" s="18" t="n">
        <v>46309</v>
      </c>
      <c r="B288" s="12" t="n">
        <f aca="false">WEEKDAY(A288,2)</f>
        <v>3</v>
      </c>
      <c r="C288" s="13" t="n">
        <v>1</v>
      </c>
      <c r="D288" s="19" t="n">
        <f aca="false">C288*1</f>
        <v>1</v>
      </c>
    </row>
    <row r="289" customFormat="false" ht="15" hidden="false" customHeight="false" outlineLevel="0" collapsed="false">
      <c r="A289" s="18" t="n">
        <v>46310</v>
      </c>
      <c r="B289" s="12" t="n">
        <f aca="false">WEEKDAY(A289,2)</f>
        <v>4</v>
      </c>
      <c r="C289" s="13" t="n">
        <v>1</v>
      </c>
      <c r="D289" s="19" t="n">
        <f aca="false">C289*1</f>
        <v>1</v>
      </c>
    </row>
    <row r="290" customFormat="false" ht="15" hidden="false" customHeight="false" outlineLevel="0" collapsed="false">
      <c r="A290" s="18" t="n">
        <v>46311</v>
      </c>
      <c r="B290" s="12" t="n">
        <f aca="false">WEEKDAY(A290,2)</f>
        <v>5</v>
      </c>
      <c r="C290" s="13" t="n">
        <v>1</v>
      </c>
      <c r="D290" s="19" t="n">
        <f aca="false">C290*1</f>
        <v>1</v>
      </c>
    </row>
    <row r="291" customFormat="false" ht="15" hidden="false" customHeight="false" outlineLevel="0" collapsed="false">
      <c r="A291" s="18" t="n">
        <v>46312</v>
      </c>
      <c r="B291" s="12" t="n">
        <f aca="false">WEEKDAY(A291,2)</f>
        <v>6</v>
      </c>
      <c r="C291" s="13" t="n">
        <v>0</v>
      </c>
      <c r="D291" s="19" t="n">
        <f aca="false">C291*1</f>
        <v>0</v>
      </c>
    </row>
    <row r="292" customFormat="false" ht="15" hidden="false" customHeight="false" outlineLevel="0" collapsed="false">
      <c r="A292" s="18" t="n">
        <v>46313</v>
      </c>
      <c r="B292" s="12" t="n">
        <f aca="false">WEEKDAY(A292,2)</f>
        <v>7</v>
      </c>
      <c r="C292" s="13" t="n">
        <v>0</v>
      </c>
      <c r="D292" s="19" t="n">
        <f aca="false">C292*1</f>
        <v>0</v>
      </c>
    </row>
    <row r="293" customFormat="false" ht="15" hidden="false" customHeight="false" outlineLevel="0" collapsed="false">
      <c r="A293" s="18" t="n">
        <v>46314</v>
      </c>
      <c r="B293" s="12" t="n">
        <f aca="false">WEEKDAY(A293,2)</f>
        <v>1</v>
      </c>
      <c r="C293" s="13" t="n">
        <v>1</v>
      </c>
      <c r="D293" s="19" t="n">
        <f aca="false">C293*1</f>
        <v>1</v>
      </c>
    </row>
    <row r="294" customFormat="false" ht="15" hidden="false" customHeight="false" outlineLevel="0" collapsed="false">
      <c r="A294" s="18" t="n">
        <v>46315</v>
      </c>
      <c r="B294" s="12" t="n">
        <f aca="false">WEEKDAY(A294,2)</f>
        <v>2</v>
      </c>
      <c r="C294" s="13" t="n">
        <v>1</v>
      </c>
      <c r="D294" s="19" t="n">
        <f aca="false">C294*1</f>
        <v>1</v>
      </c>
    </row>
    <row r="295" customFormat="false" ht="15" hidden="false" customHeight="false" outlineLevel="0" collapsed="false">
      <c r="A295" s="18" t="n">
        <v>46316</v>
      </c>
      <c r="B295" s="12" t="n">
        <f aca="false">WEEKDAY(A295,2)</f>
        <v>3</v>
      </c>
      <c r="C295" s="13" t="n">
        <v>1</v>
      </c>
      <c r="D295" s="19" t="n">
        <f aca="false">C295*1</f>
        <v>1</v>
      </c>
    </row>
    <row r="296" customFormat="false" ht="15" hidden="false" customHeight="false" outlineLevel="0" collapsed="false">
      <c r="A296" s="18" t="n">
        <v>46317</v>
      </c>
      <c r="B296" s="12" t="n">
        <f aca="false">WEEKDAY(A296,2)</f>
        <v>4</v>
      </c>
      <c r="C296" s="13" t="n">
        <v>1</v>
      </c>
      <c r="D296" s="19" t="n">
        <f aca="false">C296*1</f>
        <v>1</v>
      </c>
    </row>
    <row r="297" customFormat="false" ht="15" hidden="false" customHeight="false" outlineLevel="0" collapsed="false">
      <c r="A297" s="18" t="n">
        <v>46318</v>
      </c>
      <c r="B297" s="12" t="n">
        <f aca="false">WEEKDAY(A297,2)</f>
        <v>5</v>
      </c>
      <c r="C297" s="13" t="n">
        <v>1</v>
      </c>
      <c r="D297" s="19" t="n">
        <f aca="false">C297*1</f>
        <v>1</v>
      </c>
    </row>
    <row r="298" customFormat="false" ht="15" hidden="false" customHeight="false" outlineLevel="0" collapsed="false">
      <c r="A298" s="18" t="n">
        <v>46319</v>
      </c>
      <c r="B298" s="12" t="n">
        <f aca="false">WEEKDAY(A298,2)</f>
        <v>6</v>
      </c>
      <c r="C298" s="13" t="n">
        <v>0</v>
      </c>
      <c r="D298" s="19" t="n">
        <f aca="false">C298*1</f>
        <v>0</v>
      </c>
    </row>
    <row r="299" customFormat="false" ht="15" hidden="false" customHeight="false" outlineLevel="0" collapsed="false">
      <c r="A299" s="18" t="n">
        <v>46320</v>
      </c>
      <c r="B299" s="12" t="n">
        <f aca="false">WEEKDAY(A299,2)</f>
        <v>7</v>
      </c>
      <c r="C299" s="13" t="n">
        <v>0</v>
      </c>
      <c r="D299" s="19" t="n">
        <f aca="false">C299*1</f>
        <v>0</v>
      </c>
    </row>
    <row r="300" customFormat="false" ht="15" hidden="false" customHeight="false" outlineLevel="0" collapsed="false">
      <c r="A300" s="18" t="n">
        <v>46321</v>
      </c>
      <c r="B300" s="12" t="n">
        <f aca="false">WEEKDAY(A300,2)</f>
        <v>1</v>
      </c>
      <c r="C300" s="13" t="n">
        <v>1</v>
      </c>
      <c r="D300" s="19" t="n">
        <f aca="false">C300*1</f>
        <v>1</v>
      </c>
    </row>
    <row r="301" customFormat="false" ht="15" hidden="false" customHeight="false" outlineLevel="0" collapsed="false">
      <c r="A301" s="18" t="n">
        <v>46322</v>
      </c>
      <c r="B301" s="12" t="n">
        <f aca="false">WEEKDAY(A301,2)</f>
        <v>2</v>
      </c>
      <c r="C301" s="13" t="n">
        <v>1</v>
      </c>
      <c r="D301" s="19" t="n">
        <f aca="false">C301*1</f>
        <v>1</v>
      </c>
    </row>
    <row r="302" customFormat="false" ht="15" hidden="false" customHeight="false" outlineLevel="0" collapsed="false">
      <c r="A302" s="18" t="n">
        <v>46323</v>
      </c>
      <c r="B302" s="12" t="n">
        <f aca="false">WEEKDAY(A302,2)</f>
        <v>3</v>
      </c>
      <c r="C302" s="13" t="n">
        <v>1</v>
      </c>
      <c r="D302" s="19" t="n">
        <f aca="false">C302*1</f>
        <v>1</v>
      </c>
    </row>
    <row r="303" customFormat="false" ht="15" hidden="false" customHeight="false" outlineLevel="0" collapsed="false">
      <c r="A303" s="18" t="n">
        <v>46324</v>
      </c>
      <c r="B303" s="12" t="n">
        <f aca="false">WEEKDAY(A303,2)</f>
        <v>4</v>
      </c>
      <c r="C303" s="13" t="n">
        <v>1</v>
      </c>
      <c r="D303" s="19" t="n">
        <f aca="false">C303*1</f>
        <v>1</v>
      </c>
    </row>
    <row r="304" customFormat="false" ht="15" hidden="false" customHeight="false" outlineLevel="0" collapsed="false">
      <c r="A304" s="18" t="n">
        <v>46325</v>
      </c>
      <c r="B304" s="12" t="n">
        <f aca="false">WEEKDAY(A304,2)</f>
        <v>5</v>
      </c>
      <c r="C304" s="13" t="n">
        <v>1</v>
      </c>
      <c r="D304" s="19" t="n">
        <f aca="false">C304*1</f>
        <v>1</v>
      </c>
    </row>
    <row r="305" customFormat="false" ht="15" hidden="false" customHeight="false" outlineLevel="0" collapsed="false">
      <c r="A305" s="18" t="n">
        <v>46326</v>
      </c>
      <c r="B305" s="12" t="n">
        <f aca="false">WEEKDAY(A305,2)</f>
        <v>6</v>
      </c>
      <c r="C305" s="13" t="n">
        <v>0</v>
      </c>
      <c r="D305" s="19" t="n">
        <f aca="false">C305*1</f>
        <v>0</v>
      </c>
    </row>
    <row r="306" customFormat="false" ht="15" hidden="false" customHeight="false" outlineLevel="0" collapsed="false">
      <c r="A306" s="18" t="n">
        <v>46327</v>
      </c>
      <c r="B306" s="12" t="n">
        <f aca="false">WEEKDAY(A306,2)</f>
        <v>7</v>
      </c>
      <c r="C306" s="13" t="n">
        <v>0</v>
      </c>
      <c r="D306" s="19" t="n">
        <f aca="false">C306*1</f>
        <v>0</v>
      </c>
    </row>
    <row r="307" customFormat="false" ht="15" hidden="false" customHeight="false" outlineLevel="0" collapsed="false">
      <c r="A307" s="18" t="n">
        <v>46328</v>
      </c>
      <c r="B307" s="12" t="n">
        <f aca="false">WEEKDAY(A307,2)</f>
        <v>1</v>
      </c>
      <c r="C307" s="13" t="n">
        <v>1</v>
      </c>
      <c r="D307" s="19" t="n">
        <f aca="false">C307*1</f>
        <v>1</v>
      </c>
    </row>
    <row r="308" customFormat="false" ht="15" hidden="false" customHeight="false" outlineLevel="0" collapsed="false">
      <c r="A308" s="18" t="n">
        <v>46329</v>
      </c>
      <c r="B308" s="12" t="n">
        <f aca="false">WEEKDAY(A308,2)</f>
        <v>2</v>
      </c>
      <c r="C308" s="13" t="n">
        <v>1</v>
      </c>
      <c r="D308" s="19" t="n">
        <f aca="false">C308*1</f>
        <v>1</v>
      </c>
    </row>
    <row r="309" customFormat="false" ht="15" hidden="false" customHeight="false" outlineLevel="0" collapsed="false">
      <c r="A309" s="18" t="n">
        <v>46330</v>
      </c>
      <c r="B309" s="12" t="n">
        <f aca="false">WEEKDAY(A309,2)</f>
        <v>3</v>
      </c>
      <c r="C309" s="13" t="n">
        <v>1</v>
      </c>
      <c r="D309" s="19" t="n">
        <f aca="false">C309*1</f>
        <v>1</v>
      </c>
    </row>
    <row r="310" customFormat="false" ht="15" hidden="false" customHeight="false" outlineLevel="0" collapsed="false">
      <c r="A310" s="18" t="n">
        <v>46331</v>
      </c>
      <c r="B310" s="12" t="n">
        <f aca="false">WEEKDAY(A310,2)</f>
        <v>4</v>
      </c>
      <c r="C310" s="13" t="n">
        <v>1</v>
      </c>
      <c r="D310" s="19" t="n">
        <f aca="false">C310*1</f>
        <v>1</v>
      </c>
    </row>
    <row r="311" customFormat="false" ht="15" hidden="false" customHeight="false" outlineLevel="0" collapsed="false">
      <c r="A311" s="18" t="n">
        <v>46332</v>
      </c>
      <c r="B311" s="12" t="n">
        <f aca="false">WEEKDAY(A311,2)</f>
        <v>5</v>
      </c>
      <c r="C311" s="13" t="n">
        <v>1</v>
      </c>
      <c r="D311" s="19" t="n">
        <f aca="false">C311*1</f>
        <v>1</v>
      </c>
    </row>
    <row r="312" customFormat="false" ht="15" hidden="false" customHeight="false" outlineLevel="0" collapsed="false">
      <c r="A312" s="18" t="n">
        <v>46333</v>
      </c>
      <c r="B312" s="12" t="n">
        <f aca="false">WEEKDAY(A312,2)</f>
        <v>6</v>
      </c>
      <c r="C312" s="13" t="n">
        <v>0</v>
      </c>
      <c r="D312" s="19" t="n">
        <f aca="false">C312*1</f>
        <v>0</v>
      </c>
    </row>
    <row r="313" customFormat="false" ht="15" hidden="false" customHeight="false" outlineLevel="0" collapsed="false">
      <c r="A313" s="18" t="n">
        <v>46334</v>
      </c>
      <c r="B313" s="12" t="n">
        <f aca="false">WEEKDAY(A313,2)</f>
        <v>7</v>
      </c>
      <c r="C313" s="13" t="n">
        <v>0</v>
      </c>
      <c r="D313" s="19" t="n">
        <f aca="false">C313*1</f>
        <v>0</v>
      </c>
    </row>
    <row r="314" customFormat="false" ht="15" hidden="false" customHeight="false" outlineLevel="0" collapsed="false">
      <c r="A314" s="18" t="n">
        <v>46335</v>
      </c>
      <c r="B314" s="12" t="n">
        <f aca="false">WEEKDAY(A314,2)</f>
        <v>1</v>
      </c>
      <c r="C314" s="13" t="n">
        <v>1</v>
      </c>
      <c r="D314" s="19" t="n">
        <f aca="false">C314*1</f>
        <v>1</v>
      </c>
    </row>
    <row r="315" customFormat="false" ht="15" hidden="false" customHeight="false" outlineLevel="0" collapsed="false">
      <c r="A315" s="18" t="n">
        <v>46336</v>
      </c>
      <c r="B315" s="12" t="n">
        <f aca="false">WEEKDAY(A315,2)</f>
        <v>2</v>
      </c>
      <c r="C315" s="13" t="n">
        <v>1</v>
      </c>
      <c r="D315" s="19" t="n">
        <f aca="false">C315*1</f>
        <v>1</v>
      </c>
    </row>
    <row r="316" customFormat="false" ht="15" hidden="false" customHeight="false" outlineLevel="0" collapsed="false">
      <c r="A316" s="18" t="n">
        <v>46337</v>
      </c>
      <c r="B316" s="12" t="n">
        <f aca="false">WEEKDAY(A316,2)</f>
        <v>3</v>
      </c>
      <c r="C316" s="13" t="n">
        <v>1</v>
      </c>
      <c r="D316" s="19" t="n">
        <f aca="false">C316*1</f>
        <v>1</v>
      </c>
    </row>
    <row r="317" customFormat="false" ht="15" hidden="false" customHeight="false" outlineLevel="0" collapsed="false">
      <c r="A317" s="18" t="n">
        <v>46338</v>
      </c>
      <c r="B317" s="12" t="n">
        <f aca="false">WEEKDAY(A317,2)</f>
        <v>4</v>
      </c>
      <c r="C317" s="13" t="n">
        <v>1</v>
      </c>
      <c r="D317" s="19" t="n">
        <f aca="false">C317*1</f>
        <v>1</v>
      </c>
    </row>
    <row r="318" customFormat="false" ht="15" hidden="false" customHeight="false" outlineLevel="0" collapsed="false">
      <c r="A318" s="18" t="n">
        <v>46339</v>
      </c>
      <c r="B318" s="12" t="n">
        <f aca="false">WEEKDAY(A318,2)</f>
        <v>5</v>
      </c>
      <c r="C318" s="13" t="n">
        <v>1</v>
      </c>
      <c r="D318" s="19" t="n">
        <f aca="false">C318*1</f>
        <v>1</v>
      </c>
    </row>
    <row r="319" customFormat="false" ht="15" hidden="false" customHeight="false" outlineLevel="0" collapsed="false">
      <c r="A319" s="18" t="n">
        <v>46340</v>
      </c>
      <c r="B319" s="12" t="n">
        <f aca="false">WEEKDAY(A319,2)</f>
        <v>6</v>
      </c>
      <c r="C319" s="13" t="n">
        <v>0</v>
      </c>
      <c r="D319" s="19" t="n">
        <f aca="false">C319*1</f>
        <v>0</v>
      </c>
    </row>
    <row r="320" customFormat="false" ht="15" hidden="false" customHeight="false" outlineLevel="0" collapsed="false">
      <c r="A320" s="18" t="n">
        <v>46341</v>
      </c>
      <c r="B320" s="12" t="n">
        <f aca="false">WEEKDAY(A320,2)</f>
        <v>7</v>
      </c>
      <c r="C320" s="13" t="n">
        <v>0</v>
      </c>
      <c r="D320" s="19" t="n">
        <f aca="false">C320*1</f>
        <v>0</v>
      </c>
    </row>
    <row r="321" customFormat="false" ht="15" hidden="false" customHeight="false" outlineLevel="0" collapsed="false">
      <c r="A321" s="18" t="n">
        <v>46342</v>
      </c>
      <c r="B321" s="12" t="n">
        <f aca="false">WEEKDAY(A321,2)</f>
        <v>1</v>
      </c>
      <c r="C321" s="13" t="n">
        <v>1</v>
      </c>
      <c r="D321" s="19" t="n">
        <f aca="false">C321*1</f>
        <v>1</v>
      </c>
    </row>
    <row r="322" customFormat="false" ht="15" hidden="false" customHeight="false" outlineLevel="0" collapsed="false">
      <c r="A322" s="18" t="n">
        <v>46343</v>
      </c>
      <c r="B322" s="12" t="n">
        <f aca="false">WEEKDAY(A322,2)</f>
        <v>2</v>
      </c>
      <c r="C322" s="13" t="n">
        <v>1</v>
      </c>
      <c r="D322" s="19" t="n">
        <f aca="false">C322*1</f>
        <v>1</v>
      </c>
    </row>
    <row r="323" customFormat="false" ht="15" hidden="false" customHeight="false" outlineLevel="0" collapsed="false">
      <c r="A323" s="18" t="n">
        <v>46344</v>
      </c>
      <c r="B323" s="12" t="n">
        <f aca="false">WEEKDAY(A323,2)</f>
        <v>3</v>
      </c>
      <c r="C323" s="13" t="n">
        <v>1</v>
      </c>
      <c r="D323" s="19" t="n">
        <f aca="false">C323*1</f>
        <v>1</v>
      </c>
    </row>
    <row r="324" customFormat="false" ht="15" hidden="false" customHeight="false" outlineLevel="0" collapsed="false">
      <c r="A324" s="18" t="n">
        <v>46345</v>
      </c>
      <c r="B324" s="12" t="n">
        <f aca="false">WEEKDAY(A324,2)</f>
        <v>4</v>
      </c>
      <c r="C324" s="13" t="n">
        <v>1</v>
      </c>
      <c r="D324" s="19" t="n">
        <f aca="false">C324*1</f>
        <v>1</v>
      </c>
    </row>
    <row r="325" customFormat="false" ht="15" hidden="false" customHeight="false" outlineLevel="0" collapsed="false">
      <c r="A325" s="18" t="n">
        <v>46346</v>
      </c>
      <c r="B325" s="12" t="n">
        <f aca="false">WEEKDAY(A325,2)</f>
        <v>5</v>
      </c>
      <c r="C325" s="13" t="n">
        <v>1</v>
      </c>
      <c r="D325" s="19" t="n">
        <f aca="false">C325*1</f>
        <v>1</v>
      </c>
    </row>
    <row r="326" customFormat="false" ht="15" hidden="false" customHeight="false" outlineLevel="0" collapsed="false">
      <c r="A326" s="18" t="n">
        <v>46347</v>
      </c>
      <c r="B326" s="12" t="n">
        <f aca="false">WEEKDAY(A326,2)</f>
        <v>6</v>
      </c>
      <c r="C326" s="13" t="n">
        <v>0</v>
      </c>
      <c r="D326" s="19" t="n">
        <f aca="false">C326*1</f>
        <v>0</v>
      </c>
    </row>
    <row r="327" customFormat="false" ht="15" hidden="false" customHeight="false" outlineLevel="0" collapsed="false">
      <c r="A327" s="18" t="n">
        <v>46348</v>
      </c>
      <c r="B327" s="12" t="n">
        <f aca="false">WEEKDAY(A327,2)</f>
        <v>7</v>
      </c>
      <c r="C327" s="13" t="n">
        <v>0</v>
      </c>
      <c r="D327" s="19" t="n">
        <f aca="false">C327*1</f>
        <v>0</v>
      </c>
    </row>
    <row r="328" customFormat="false" ht="15" hidden="false" customHeight="false" outlineLevel="0" collapsed="false">
      <c r="A328" s="18" t="n">
        <v>46349</v>
      </c>
      <c r="B328" s="12" t="n">
        <f aca="false">WEEKDAY(A328,2)</f>
        <v>1</v>
      </c>
      <c r="C328" s="13" t="n">
        <v>1</v>
      </c>
      <c r="D328" s="19" t="n">
        <f aca="false">C328*1</f>
        <v>1</v>
      </c>
    </row>
    <row r="329" customFormat="false" ht="15" hidden="false" customHeight="false" outlineLevel="0" collapsed="false">
      <c r="A329" s="18" t="n">
        <v>46350</v>
      </c>
      <c r="B329" s="12" t="n">
        <f aca="false">WEEKDAY(A329,2)</f>
        <v>2</v>
      </c>
      <c r="C329" s="13" t="n">
        <v>1</v>
      </c>
      <c r="D329" s="19" t="n">
        <f aca="false">C329*1</f>
        <v>1</v>
      </c>
    </row>
    <row r="330" customFormat="false" ht="15" hidden="false" customHeight="false" outlineLevel="0" collapsed="false">
      <c r="A330" s="18" t="n">
        <v>46351</v>
      </c>
      <c r="B330" s="12" t="n">
        <f aca="false">WEEKDAY(A330,2)</f>
        <v>3</v>
      </c>
      <c r="C330" s="13" t="n">
        <v>1</v>
      </c>
      <c r="D330" s="19" t="n">
        <f aca="false">C330*1</f>
        <v>1</v>
      </c>
    </row>
    <row r="331" customFormat="false" ht="15" hidden="false" customHeight="false" outlineLevel="0" collapsed="false">
      <c r="A331" s="18" t="n">
        <v>46352</v>
      </c>
      <c r="B331" s="12" t="n">
        <f aca="false">WEEKDAY(A331,2)</f>
        <v>4</v>
      </c>
      <c r="C331" s="13" t="n">
        <v>1</v>
      </c>
      <c r="D331" s="19" t="n">
        <f aca="false">C331*1</f>
        <v>1</v>
      </c>
    </row>
    <row r="332" customFormat="false" ht="15" hidden="false" customHeight="false" outlineLevel="0" collapsed="false">
      <c r="A332" s="18" t="n">
        <v>46353</v>
      </c>
      <c r="B332" s="12" t="n">
        <f aca="false">WEEKDAY(A332,2)</f>
        <v>5</v>
      </c>
      <c r="C332" s="13" t="n">
        <v>1</v>
      </c>
      <c r="D332" s="19" t="n">
        <f aca="false">C332*1</f>
        <v>1</v>
      </c>
    </row>
    <row r="333" customFormat="false" ht="15" hidden="false" customHeight="false" outlineLevel="0" collapsed="false">
      <c r="A333" s="18" t="n">
        <v>46354</v>
      </c>
      <c r="B333" s="12" t="n">
        <f aca="false">WEEKDAY(A333,2)</f>
        <v>6</v>
      </c>
      <c r="C333" s="13" t="n">
        <v>0</v>
      </c>
      <c r="D333" s="19" t="n">
        <f aca="false">C333*1</f>
        <v>0</v>
      </c>
    </row>
    <row r="334" customFormat="false" ht="15" hidden="false" customHeight="false" outlineLevel="0" collapsed="false">
      <c r="A334" s="18" t="n">
        <v>46355</v>
      </c>
      <c r="B334" s="12" t="n">
        <f aca="false">WEEKDAY(A334,2)</f>
        <v>7</v>
      </c>
      <c r="C334" s="13" t="n">
        <v>0</v>
      </c>
      <c r="D334" s="19" t="n">
        <f aca="false">C334*1</f>
        <v>0</v>
      </c>
    </row>
    <row r="335" customFormat="false" ht="15" hidden="false" customHeight="false" outlineLevel="0" collapsed="false">
      <c r="A335" s="18" t="n">
        <v>46356</v>
      </c>
      <c r="B335" s="12" t="n">
        <f aca="false">WEEKDAY(A335,2)</f>
        <v>1</v>
      </c>
      <c r="C335" s="13" t="n">
        <v>1</v>
      </c>
      <c r="D335" s="19" t="n">
        <f aca="false">C335*1</f>
        <v>1</v>
      </c>
    </row>
    <row r="336" customFormat="false" ht="15" hidden="false" customHeight="false" outlineLevel="0" collapsed="false">
      <c r="A336" s="18" t="n">
        <v>46357</v>
      </c>
      <c r="B336" s="12" t="n">
        <f aca="false">WEEKDAY(A336,2)</f>
        <v>2</v>
      </c>
      <c r="C336" s="13" t="n">
        <v>1</v>
      </c>
      <c r="D336" s="19" t="n">
        <f aca="false">C336*1</f>
        <v>1</v>
      </c>
    </row>
    <row r="337" customFormat="false" ht="15" hidden="false" customHeight="false" outlineLevel="0" collapsed="false">
      <c r="A337" s="18" t="n">
        <v>46358</v>
      </c>
      <c r="B337" s="12" t="n">
        <f aca="false">WEEKDAY(A337,2)</f>
        <v>3</v>
      </c>
      <c r="C337" s="13" t="n">
        <v>1</v>
      </c>
      <c r="D337" s="19" t="n">
        <f aca="false">C337*1</f>
        <v>1</v>
      </c>
    </row>
    <row r="338" customFormat="false" ht="15" hidden="false" customHeight="false" outlineLevel="0" collapsed="false">
      <c r="A338" s="18" t="n">
        <v>46359</v>
      </c>
      <c r="B338" s="12" t="n">
        <f aca="false">WEEKDAY(A338,2)</f>
        <v>4</v>
      </c>
      <c r="C338" s="13" t="n">
        <v>1</v>
      </c>
      <c r="D338" s="19" t="n">
        <f aca="false">C338*1</f>
        <v>1</v>
      </c>
    </row>
    <row r="339" customFormat="false" ht="15" hidden="false" customHeight="false" outlineLevel="0" collapsed="false">
      <c r="A339" s="18" t="n">
        <v>46360</v>
      </c>
      <c r="B339" s="12" t="n">
        <f aca="false">WEEKDAY(A339,2)</f>
        <v>5</v>
      </c>
      <c r="C339" s="13" t="n">
        <v>1</v>
      </c>
      <c r="D339" s="19" t="n">
        <f aca="false">C339*1</f>
        <v>1</v>
      </c>
    </row>
    <row r="340" customFormat="false" ht="15" hidden="false" customHeight="false" outlineLevel="0" collapsed="false">
      <c r="A340" s="18" t="n">
        <v>46361</v>
      </c>
      <c r="B340" s="12" t="n">
        <f aca="false">WEEKDAY(A340,2)</f>
        <v>6</v>
      </c>
      <c r="C340" s="13" t="n">
        <v>0</v>
      </c>
      <c r="D340" s="19" t="n">
        <f aca="false">C340*1</f>
        <v>0</v>
      </c>
    </row>
    <row r="341" customFormat="false" ht="15" hidden="false" customHeight="false" outlineLevel="0" collapsed="false">
      <c r="A341" s="18" t="n">
        <v>46362</v>
      </c>
      <c r="B341" s="12" t="n">
        <f aca="false">WEEKDAY(A341,2)</f>
        <v>7</v>
      </c>
      <c r="C341" s="13" t="n">
        <v>0</v>
      </c>
      <c r="D341" s="19" t="n">
        <f aca="false">C341*1</f>
        <v>0</v>
      </c>
    </row>
    <row r="342" customFormat="false" ht="15" hidden="false" customHeight="false" outlineLevel="0" collapsed="false">
      <c r="A342" s="18" t="n">
        <v>46363</v>
      </c>
      <c r="B342" s="12" t="n">
        <f aca="false">WEEKDAY(A342,2)</f>
        <v>1</v>
      </c>
      <c r="C342" s="13" t="n">
        <v>1</v>
      </c>
      <c r="D342" s="19" t="n">
        <f aca="false">C342*1</f>
        <v>1</v>
      </c>
    </row>
    <row r="343" customFormat="false" ht="15" hidden="false" customHeight="false" outlineLevel="0" collapsed="false">
      <c r="A343" s="18" t="n">
        <v>46364</v>
      </c>
      <c r="B343" s="12" t="n">
        <f aca="false">WEEKDAY(A343,2)</f>
        <v>2</v>
      </c>
      <c r="C343" s="13" t="n">
        <v>1</v>
      </c>
      <c r="D343" s="19" t="n">
        <f aca="false">C343*1</f>
        <v>1</v>
      </c>
    </row>
    <row r="344" customFormat="false" ht="15" hidden="false" customHeight="false" outlineLevel="0" collapsed="false">
      <c r="A344" s="18" t="n">
        <v>46365</v>
      </c>
      <c r="B344" s="12" t="n">
        <f aca="false">WEEKDAY(A344,2)</f>
        <v>3</v>
      </c>
      <c r="C344" s="13" t="n">
        <v>1</v>
      </c>
      <c r="D344" s="19" t="n">
        <f aca="false">C344*1</f>
        <v>1</v>
      </c>
    </row>
    <row r="345" customFormat="false" ht="15" hidden="false" customHeight="false" outlineLevel="0" collapsed="false">
      <c r="A345" s="18" t="n">
        <v>46366</v>
      </c>
      <c r="B345" s="12" t="n">
        <f aca="false">WEEKDAY(A345,2)</f>
        <v>4</v>
      </c>
      <c r="C345" s="13" t="n">
        <v>1</v>
      </c>
      <c r="D345" s="19" t="n">
        <f aca="false">C345*1</f>
        <v>1</v>
      </c>
    </row>
    <row r="346" customFormat="false" ht="15" hidden="false" customHeight="false" outlineLevel="0" collapsed="false">
      <c r="A346" s="18" t="n">
        <v>46367</v>
      </c>
      <c r="B346" s="12" t="n">
        <f aca="false">WEEKDAY(A346,2)</f>
        <v>5</v>
      </c>
      <c r="C346" s="13" t="n">
        <v>1</v>
      </c>
      <c r="D346" s="19" t="n">
        <f aca="false">C346*1</f>
        <v>1</v>
      </c>
    </row>
    <row r="347" customFormat="false" ht="15" hidden="false" customHeight="false" outlineLevel="0" collapsed="false">
      <c r="A347" s="18" t="n">
        <v>46368</v>
      </c>
      <c r="B347" s="12" t="n">
        <f aca="false">WEEKDAY(A347,2)</f>
        <v>6</v>
      </c>
      <c r="C347" s="13" t="n">
        <v>0</v>
      </c>
      <c r="D347" s="19" t="n">
        <f aca="false">C347*1</f>
        <v>0</v>
      </c>
    </row>
    <row r="348" customFormat="false" ht="15" hidden="false" customHeight="false" outlineLevel="0" collapsed="false">
      <c r="A348" s="18" t="n">
        <v>46369</v>
      </c>
      <c r="B348" s="12" t="n">
        <f aca="false">WEEKDAY(A348,2)</f>
        <v>7</v>
      </c>
      <c r="C348" s="13" t="n">
        <v>0</v>
      </c>
      <c r="D348" s="19" t="n">
        <f aca="false">C348*1</f>
        <v>0</v>
      </c>
    </row>
    <row r="349" customFormat="false" ht="15" hidden="false" customHeight="false" outlineLevel="0" collapsed="false">
      <c r="A349" s="18" t="n">
        <v>46370</v>
      </c>
      <c r="B349" s="12" t="n">
        <f aca="false">WEEKDAY(A349,2)</f>
        <v>1</v>
      </c>
      <c r="C349" s="13" t="n">
        <v>1</v>
      </c>
      <c r="D349" s="19" t="n">
        <f aca="false">C349*1</f>
        <v>1</v>
      </c>
    </row>
    <row r="350" customFormat="false" ht="15" hidden="false" customHeight="false" outlineLevel="0" collapsed="false">
      <c r="A350" s="18" t="n">
        <v>46371</v>
      </c>
      <c r="B350" s="12" t="n">
        <f aca="false">WEEKDAY(A350,2)</f>
        <v>2</v>
      </c>
      <c r="C350" s="13" t="n">
        <v>1</v>
      </c>
      <c r="D350" s="19" t="n">
        <f aca="false">C350*1</f>
        <v>1</v>
      </c>
    </row>
    <row r="351" customFormat="false" ht="15" hidden="false" customHeight="false" outlineLevel="0" collapsed="false">
      <c r="A351" s="18" t="n">
        <v>46372</v>
      </c>
      <c r="B351" s="12" t="n">
        <f aca="false">WEEKDAY(A351,2)</f>
        <v>3</v>
      </c>
      <c r="C351" s="13" t="n">
        <v>1</v>
      </c>
      <c r="D351" s="19" t="n">
        <f aca="false">C351*1</f>
        <v>1</v>
      </c>
    </row>
    <row r="352" customFormat="false" ht="15" hidden="false" customHeight="false" outlineLevel="0" collapsed="false">
      <c r="A352" s="18" t="n">
        <v>46373</v>
      </c>
      <c r="B352" s="12" t="n">
        <f aca="false">WEEKDAY(A352,2)</f>
        <v>4</v>
      </c>
      <c r="C352" s="13" t="n">
        <v>1</v>
      </c>
      <c r="D352" s="19" t="n">
        <f aca="false">C352*1</f>
        <v>1</v>
      </c>
    </row>
    <row r="353" customFormat="false" ht="15" hidden="false" customHeight="false" outlineLevel="0" collapsed="false">
      <c r="A353" s="18" t="n">
        <v>46374</v>
      </c>
      <c r="B353" s="12" t="n">
        <f aca="false">WEEKDAY(A353,2)</f>
        <v>5</v>
      </c>
      <c r="C353" s="13" t="n">
        <v>1</v>
      </c>
      <c r="D353" s="19" t="n">
        <f aca="false">C353*1</f>
        <v>1</v>
      </c>
    </row>
    <row r="354" customFormat="false" ht="15" hidden="false" customHeight="false" outlineLevel="0" collapsed="false">
      <c r="A354" s="18" t="n">
        <v>46375</v>
      </c>
      <c r="B354" s="12" t="n">
        <f aca="false">WEEKDAY(A354,2)</f>
        <v>6</v>
      </c>
      <c r="C354" s="13" t="n">
        <v>0</v>
      </c>
      <c r="D354" s="19" t="n">
        <f aca="false">C354*1</f>
        <v>0</v>
      </c>
    </row>
    <row r="355" customFormat="false" ht="15" hidden="false" customHeight="false" outlineLevel="0" collapsed="false">
      <c r="A355" s="18" t="n">
        <v>46376</v>
      </c>
      <c r="B355" s="12" t="n">
        <f aca="false">WEEKDAY(A355,2)</f>
        <v>7</v>
      </c>
      <c r="C355" s="13" t="n">
        <v>0</v>
      </c>
      <c r="D355" s="19" t="n">
        <f aca="false">C355*1</f>
        <v>0</v>
      </c>
    </row>
    <row r="356" customFormat="false" ht="15" hidden="false" customHeight="false" outlineLevel="0" collapsed="false">
      <c r="A356" s="18" t="n">
        <v>46377</v>
      </c>
      <c r="B356" s="12" t="n">
        <f aca="false">WEEKDAY(A356,2)</f>
        <v>1</v>
      </c>
      <c r="C356" s="13" t="n">
        <v>1</v>
      </c>
      <c r="D356" s="19" t="n">
        <f aca="false">C356*1</f>
        <v>1</v>
      </c>
    </row>
    <row r="357" customFormat="false" ht="15" hidden="false" customHeight="false" outlineLevel="0" collapsed="false">
      <c r="A357" s="18" t="n">
        <v>46378</v>
      </c>
      <c r="B357" s="12" t="n">
        <f aca="false">WEEKDAY(A357,2)</f>
        <v>2</v>
      </c>
      <c r="C357" s="13" t="n">
        <v>1</v>
      </c>
      <c r="D357" s="19" t="n">
        <f aca="false">C357*1</f>
        <v>1</v>
      </c>
    </row>
    <row r="358" customFormat="false" ht="15" hidden="false" customHeight="false" outlineLevel="0" collapsed="false">
      <c r="A358" s="18" t="n">
        <v>46379</v>
      </c>
      <c r="B358" s="12" t="n">
        <f aca="false">WEEKDAY(A358,2)</f>
        <v>3</v>
      </c>
      <c r="C358" s="13" t="n">
        <v>1</v>
      </c>
      <c r="D358" s="19" t="n">
        <f aca="false">C358*1</f>
        <v>1</v>
      </c>
    </row>
    <row r="359" customFormat="false" ht="15" hidden="false" customHeight="false" outlineLevel="0" collapsed="false">
      <c r="A359" s="18" t="n">
        <v>46380</v>
      </c>
      <c r="B359" s="12" t="n">
        <f aca="false">WEEKDAY(A359,2)</f>
        <v>4</v>
      </c>
      <c r="C359" s="13" t="n">
        <v>1</v>
      </c>
      <c r="D359" s="19" t="n">
        <f aca="false">C359*1</f>
        <v>1</v>
      </c>
    </row>
    <row r="360" customFormat="false" ht="15" hidden="false" customHeight="false" outlineLevel="0" collapsed="false">
      <c r="A360" s="18" t="n">
        <v>46381</v>
      </c>
      <c r="B360" s="12" t="n">
        <f aca="false">WEEKDAY(A360,2)</f>
        <v>5</v>
      </c>
      <c r="C360" s="13" t="n">
        <v>1</v>
      </c>
      <c r="D360" s="19" t="n">
        <f aca="false">C360*1</f>
        <v>1</v>
      </c>
    </row>
    <row r="361" customFormat="false" ht="15" hidden="false" customHeight="false" outlineLevel="0" collapsed="false">
      <c r="A361" s="18" t="n">
        <v>46382</v>
      </c>
      <c r="B361" s="12" t="n">
        <f aca="false">WEEKDAY(A361,2)</f>
        <v>6</v>
      </c>
      <c r="C361" s="13" t="n">
        <v>0</v>
      </c>
      <c r="D361" s="19" t="n">
        <f aca="false">C361*1</f>
        <v>0</v>
      </c>
    </row>
    <row r="362" customFormat="false" ht="15" hidden="false" customHeight="false" outlineLevel="0" collapsed="false">
      <c r="A362" s="18" t="n">
        <v>46383</v>
      </c>
      <c r="B362" s="12" t="n">
        <f aca="false">WEEKDAY(A362,2)</f>
        <v>7</v>
      </c>
      <c r="C362" s="13" t="n">
        <v>0</v>
      </c>
      <c r="D362" s="19" t="n">
        <f aca="false">C362*1</f>
        <v>0</v>
      </c>
    </row>
    <row r="363" customFormat="false" ht="15" hidden="false" customHeight="false" outlineLevel="0" collapsed="false">
      <c r="A363" s="18" t="n">
        <v>46384</v>
      </c>
      <c r="B363" s="12" t="n">
        <f aca="false">WEEKDAY(A363,2)</f>
        <v>1</v>
      </c>
      <c r="C363" s="13" t="n">
        <v>1</v>
      </c>
      <c r="D363" s="19" t="n">
        <f aca="false">C363*1</f>
        <v>1</v>
      </c>
    </row>
    <row r="364" customFormat="false" ht="15" hidden="false" customHeight="false" outlineLevel="0" collapsed="false">
      <c r="A364" s="18" t="n">
        <v>46385</v>
      </c>
      <c r="B364" s="12" t="n">
        <f aca="false">WEEKDAY(A364,2)</f>
        <v>2</v>
      </c>
      <c r="C364" s="13" t="n">
        <v>1</v>
      </c>
      <c r="D364" s="19" t="n">
        <f aca="false">C364*1</f>
        <v>1</v>
      </c>
    </row>
    <row r="365" customFormat="false" ht="15" hidden="false" customHeight="false" outlineLevel="0" collapsed="false">
      <c r="A365" s="18" t="n">
        <v>46386</v>
      </c>
      <c r="B365" s="12" t="n">
        <f aca="false">WEEKDAY(A365,2)</f>
        <v>3</v>
      </c>
      <c r="C365" s="13" t="n">
        <v>1</v>
      </c>
      <c r="D365" s="19" t="n">
        <f aca="false">C365*1</f>
        <v>1</v>
      </c>
    </row>
    <row r="366" customFormat="false" ht="15" hidden="false" customHeight="false" outlineLevel="0" collapsed="false">
      <c r="A366" s="18" t="n">
        <v>46387</v>
      </c>
      <c r="B366" s="12" t="n">
        <f aca="false">WEEKDAY(A366,2)</f>
        <v>4</v>
      </c>
      <c r="C366" s="13" t="n">
        <v>1</v>
      </c>
      <c r="D366" s="19" t="n">
        <f aca="false">C366*1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15" min="4" style="0" width="1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1" t="s">
        <v>56</v>
      </c>
      <c r="B1" s="11" t="s">
        <v>59</v>
      </c>
      <c r="C1" s="11" t="s">
        <v>60</v>
      </c>
      <c r="D1" s="11" t="s">
        <v>373</v>
      </c>
      <c r="E1" s="11" t="s">
        <v>374</v>
      </c>
      <c r="F1" s="11" t="s">
        <v>375</v>
      </c>
      <c r="G1" s="11" t="s">
        <v>376</v>
      </c>
      <c r="H1" s="11" t="s">
        <v>377</v>
      </c>
      <c r="I1" s="11" t="s">
        <v>378</v>
      </c>
      <c r="J1" s="11" t="s">
        <v>379</v>
      </c>
      <c r="K1" s="11" t="s">
        <v>380</v>
      </c>
      <c r="L1" s="11" t="s">
        <v>381</v>
      </c>
      <c r="M1" s="11" t="s">
        <v>382</v>
      </c>
      <c r="N1" s="11" t="s">
        <v>383</v>
      </c>
      <c r="O1" s="11" t="s">
        <v>384</v>
      </c>
      <c r="P1" s="11" t="s">
        <v>42</v>
      </c>
    </row>
    <row r="2" customFormat="false" ht="15" hidden="false" customHeight="false" outlineLevel="0" collapsed="false">
      <c r="A2" s="13" t="s">
        <v>70</v>
      </c>
      <c r="B2" s="20" t="str">
        <f aca="false">IFERROR(INDEX(Справочник_KPI!$D:$D,MATCH($A2,Справочник_KPI!$A:$A,0)),"нет в справочнике")</f>
        <v>Выручка (net sales)</v>
      </c>
      <c r="C2" s="20" t="str">
        <f aca="false">IFERROR(INDEX(Справочник_KPI!$E:$E,MATCH($A2,Справочник_KPI!$A:$A,0)),"")</f>
        <v>млн грн</v>
      </c>
      <c r="D2" s="21" t="n">
        <v>518.4</v>
      </c>
      <c r="E2" s="21" t="n">
        <v>511.2</v>
      </c>
      <c r="F2" s="21" t="n">
        <v>583.2</v>
      </c>
      <c r="G2" s="21" t="n">
        <v>576</v>
      </c>
      <c r="H2" s="21" t="n">
        <v>597.6</v>
      </c>
      <c r="I2" s="21" t="n">
        <v>604.8</v>
      </c>
      <c r="J2" s="21" t="n">
        <v>619.2</v>
      </c>
      <c r="K2" s="21" t="n">
        <v>626.4</v>
      </c>
      <c r="L2" s="21" t="n">
        <v>604.8</v>
      </c>
      <c r="M2" s="21" t="n">
        <v>626.4</v>
      </c>
      <c r="N2" s="21" t="n">
        <v>619.2</v>
      </c>
      <c r="O2" s="21" t="n">
        <v>712.8</v>
      </c>
      <c r="P2" s="22" t="n">
        <f aca="false">IF(COUNT(D2:O2)=0,"",IF(IFERROR(INDEX(Справочник_KPI!$G:$G,MATCH($A2,Справочник_KPI!$A:$A,0)),"")="sum",SUM(D2:O2),IF(IFERROR(INDEX(Справочник_KPI!$G:$G,MATCH($A2,Справочник_KPI!$A:$A,0)),"")="last",INDEX(D2:O2,COUNT(D2:O2)),AVERAGE(D2:O2))))</f>
        <v>7200</v>
      </c>
    </row>
    <row r="3" customFormat="false" ht="15" hidden="false" customHeight="false" outlineLevel="0" collapsed="false">
      <c r="A3" s="13" t="s">
        <v>82</v>
      </c>
      <c r="B3" s="20" t="str">
        <f aca="false">IFERROR(INDEX(Справочник_KPI!$D:$D,MATCH($A3,Справочник_KPI!$A:$A,0)),"нет в справочнике")</f>
        <v>Валовая прибыль</v>
      </c>
      <c r="C3" s="20" t="str">
        <f aca="false">IFERROR(INDEX(Справочник_KPI!$E:$E,MATCH($A3,Справочник_KPI!$A:$A,0)),"")</f>
        <v>млн грн</v>
      </c>
      <c r="D3" s="21" t="n">
        <v>101.09</v>
      </c>
      <c r="E3" s="21" t="n">
        <v>99.68</v>
      </c>
      <c r="F3" s="21" t="n">
        <v>113.72</v>
      </c>
      <c r="G3" s="21" t="n">
        <v>112.32</v>
      </c>
      <c r="H3" s="21" t="n">
        <v>116.53</v>
      </c>
      <c r="I3" s="21" t="n">
        <v>117.94</v>
      </c>
      <c r="J3" s="21" t="n">
        <v>120.74</v>
      </c>
      <c r="K3" s="21" t="n">
        <v>122.15</v>
      </c>
      <c r="L3" s="21" t="n">
        <v>117.94</v>
      </c>
      <c r="M3" s="21" t="n">
        <v>122.15</v>
      </c>
      <c r="N3" s="21" t="n">
        <v>120.74</v>
      </c>
      <c r="O3" s="21" t="n">
        <v>139</v>
      </c>
      <c r="P3" s="22" t="n">
        <f aca="false">IF(COUNT(D3:O3)=0,"",IF(IFERROR(INDEX(Справочник_KPI!$G:$G,MATCH($A3,Справочник_KPI!$A:$A,0)),"")="sum",SUM(D3:O3),IF(IFERROR(INDEX(Справочник_KPI!$G:$G,MATCH($A3,Справочник_KPI!$A:$A,0)),"")="last",INDEX(D3:O3,COUNT(D3:O3)),AVERAGE(D3:O3))))</f>
        <v>1404</v>
      </c>
    </row>
    <row r="4" customFormat="false" ht="15" hidden="false" customHeight="false" outlineLevel="0" collapsed="false">
      <c r="A4" s="13" t="s">
        <v>98</v>
      </c>
      <c r="B4" s="20" t="str">
        <f aca="false">IFERROR(INDEX(Справочник_KPI!$D:$D,MATCH($A4,Справочник_KPI!$A:$A,0)),"нет в справочнике")</f>
        <v>Операционные расходы (OPEX)</v>
      </c>
      <c r="C4" s="20" t="str">
        <f aca="false">IFERROR(INDEX(Справочник_KPI!$E:$E,MATCH($A4,Справочник_KPI!$A:$A,0)),"")</f>
        <v>млн грн</v>
      </c>
      <c r="D4" s="21" t="n">
        <v>75.17</v>
      </c>
      <c r="E4" s="21" t="n">
        <v>74.12</v>
      </c>
      <c r="F4" s="21" t="n">
        <v>84.56</v>
      </c>
      <c r="G4" s="21" t="n">
        <v>83.52</v>
      </c>
      <c r="H4" s="21" t="n">
        <v>86.65</v>
      </c>
      <c r="I4" s="21" t="n">
        <v>87.7</v>
      </c>
      <c r="J4" s="21" t="n">
        <v>89.78</v>
      </c>
      <c r="K4" s="21" t="n">
        <v>90.83</v>
      </c>
      <c r="L4" s="21" t="n">
        <v>87.7</v>
      </c>
      <c r="M4" s="21" t="n">
        <v>90.83</v>
      </c>
      <c r="N4" s="21" t="n">
        <v>89.78</v>
      </c>
      <c r="O4" s="21" t="n">
        <v>103.36</v>
      </c>
      <c r="P4" s="22" t="n">
        <f aca="false">IF(COUNT(D4:O4)=0,"",IF(IFERROR(INDEX(Справочник_KPI!$G:$G,MATCH($A4,Справочник_KPI!$A:$A,0)),"")="sum",SUM(D4:O4),IF(IFERROR(INDEX(Справочник_KPI!$G:$G,MATCH($A4,Справочник_KPI!$A:$A,0)),"")="last",INDEX(D4:O4,COUNT(D4:O4)),AVERAGE(D4:O4))))</f>
        <v>1044</v>
      </c>
    </row>
    <row r="5" customFormat="false" ht="15" hidden="false" customHeight="false" outlineLevel="0" collapsed="false">
      <c r="A5" s="13" t="s">
        <v>123</v>
      </c>
      <c r="B5" s="20" t="str">
        <f aca="false">IFERROR(INDEX(Справочник_KPI!$D:$D,MATCH($A5,Справочник_KPI!$A:$A,0)),"нет в справочнике")</f>
        <v>Логистика и склад (служебный)</v>
      </c>
      <c r="C5" s="20" t="str">
        <f aca="false">IFERROR(INDEX(Справочник_KPI!$E:$E,MATCH($A5,Справочник_KPI!$A:$A,0)),"")</f>
        <v>млн грн</v>
      </c>
      <c r="D5" s="21" t="n">
        <v>21.74</v>
      </c>
      <c r="E5" s="21" t="n">
        <v>21.44</v>
      </c>
      <c r="F5" s="21" t="n">
        <v>24.46</v>
      </c>
      <c r="G5" s="21" t="n">
        <v>24.16</v>
      </c>
      <c r="H5" s="21" t="n">
        <v>25.07</v>
      </c>
      <c r="I5" s="21" t="n">
        <v>25.37</v>
      </c>
      <c r="J5" s="21" t="n">
        <v>25.97</v>
      </c>
      <c r="K5" s="21" t="n">
        <v>26.27</v>
      </c>
      <c r="L5" s="21" t="n">
        <v>25.37</v>
      </c>
      <c r="M5" s="21" t="n">
        <v>26.27</v>
      </c>
      <c r="N5" s="21" t="n">
        <v>25.97</v>
      </c>
      <c r="O5" s="21" t="n">
        <v>29.9</v>
      </c>
      <c r="P5" s="22" t="n">
        <f aca="false">IF(COUNT(D5:O5)=0,"",IF(IFERROR(INDEX(Справочник_KPI!$G:$G,MATCH($A5,Справочник_KPI!$A:$A,0)),"")="sum",SUM(D5:O5),IF(IFERROR(INDEX(Справочник_KPI!$G:$G,MATCH($A5,Справочник_KPI!$A:$A,0)),"")="last",INDEX(D5:O5,COUNT(D5:O5)),AVERAGE(D5:O5))))</f>
        <v>301.99</v>
      </c>
    </row>
    <row r="6" customFormat="false" ht="15" hidden="false" customHeight="false" outlineLevel="0" collapsed="false">
      <c r="A6" s="13" t="s">
        <v>133</v>
      </c>
      <c r="B6" s="20" t="str">
        <f aca="false">IFERROR(INDEX(Справочник_KPI!$D:$D,MATCH($A6,Справочник_KPI!$A:$A,0)),"нет в справочнике")</f>
        <v>Операционный денежный поток</v>
      </c>
      <c r="C6" s="20" t="str">
        <f aca="false">IFERROR(INDEX(Справочник_KPI!$E:$E,MATCH($A6,Справочник_KPI!$A:$A,0)),"")</f>
        <v>млн грн</v>
      </c>
      <c r="D6" s="21" t="n">
        <v>18.14</v>
      </c>
      <c r="E6" s="21" t="n">
        <v>17.89</v>
      </c>
      <c r="F6" s="21" t="n">
        <v>20.41</v>
      </c>
      <c r="G6" s="21" t="n">
        <v>20.16</v>
      </c>
      <c r="H6" s="21" t="n">
        <v>20.92</v>
      </c>
      <c r="I6" s="21" t="n">
        <v>21.17</v>
      </c>
      <c r="J6" s="21" t="n">
        <v>21.67</v>
      </c>
      <c r="K6" s="21" t="n">
        <v>21.92</v>
      </c>
      <c r="L6" s="21" t="n">
        <v>21.17</v>
      </c>
      <c r="M6" s="21" t="n">
        <v>21.92</v>
      </c>
      <c r="N6" s="21" t="n">
        <v>21.67</v>
      </c>
      <c r="O6" s="21" t="n">
        <v>24.95</v>
      </c>
      <c r="P6" s="22" t="n">
        <f aca="false">IF(COUNT(D6:O6)=0,"",IF(IFERROR(INDEX(Справочник_KPI!$G:$G,MATCH($A6,Справочник_KPI!$A:$A,0)),"")="sum",SUM(D6:O6),IF(IFERROR(INDEX(Справочник_KPI!$G:$G,MATCH($A6,Справочник_KPI!$A:$A,0)),"")="last",INDEX(D6:O6,COUNT(D6:O6)),AVERAGE(D6:O6))))</f>
        <v>251.99</v>
      </c>
    </row>
    <row r="7" customFormat="false" ht="15" hidden="false" customHeight="false" outlineLevel="0" collapsed="false">
      <c r="A7" s="13" t="s">
        <v>139</v>
      </c>
      <c r="B7" s="20" t="str">
        <f aca="false">IFERROR(INDEX(Справочник_KPI!$D:$D,MATCH($A7,Справочник_KPI!$A:$A,0)),"нет в справочнике")</f>
        <v>Остаток денежных средств</v>
      </c>
      <c r="C7" s="20" t="str">
        <f aca="false">IFERROR(INDEX(Справочник_KPI!$E:$E,MATCH($A7,Справочник_KPI!$A:$A,0)),"")</f>
        <v>млн грн</v>
      </c>
      <c r="D7" s="21" t="n">
        <v>170</v>
      </c>
      <c r="E7" s="21" t="n">
        <v>171.82</v>
      </c>
      <c r="F7" s="21" t="n">
        <v>173.64</v>
      </c>
      <c r="G7" s="21" t="n">
        <v>175.45</v>
      </c>
      <c r="H7" s="21" t="n">
        <v>177.27</v>
      </c>
      <c r="I7" s="21" t="n">
        <v>179.09</v>
      </c>
      <c r="J7" s="21" t="n">
        <v>180.91</v>
      </c>
      <c r="K7" s="21" t="n">
        <v>182.73</v>
      </c>
      <c r="L7" s="21" t="n">
        <v>184.55</v>
      </c>
      <c r="M7" s="21" t="n">
        <v>186.36</v>
      </c>
      <c r="N7" s="21" t="n">
        <v>188.18</v>
      </c>
      <c r="O7" s="21" t="n">
        <v>190</v>
      </c>
      <c r="P7" s="22" t="n">
        <f aca="false">IF(COUNT(D7:O7)=0,"",IF(IFERROR(INDEX(Справочник_KPI!$G:$G,MATCH($A7,Справочник_KPI!$A:$A,0)),"")="sum",SUM(D7:O7),IF(IFERROR(INDEX(Справочник_KPI!$G:$G,MATCH($A7,Справочник_KPI!$A:$A,0)),"")="last",INDEX(D7:O7,COUNT(D7:O7)),AVERAGE(D7:O7))))</f>
        <v>190</v>
      </c>
    </row>
    <row r="8" customFormat="false" ht="15" hidden="false" customHeight="false" outlineLevel="0" collapsed="false">
      <c r="A8" s="13" t="s">
        <v>146</v>
      </c>
      <c r="B8" s="20" t="str">
        <f aca="false">IFERROR(INDEX(Справочник_KPI!$D:$D,MATCH($A8,Справочник_KPI!$A:$A,0)),"нет в справочнике")</f>
        <v>Оборачиваемость ДЗ (DSO)</v>
      </c>
      <c r="C8" s="20" t="str">
        <f aca="false">IFERROR(INDEX(Справочник_KPI!$E:$E,MATCH($A8,Справочник_KPI!$A:$A,0)),"")</f>
        <v>дни</v>
      </c>
      <c r="D8" s="21" t="n">
        <v>29</v>
      </c>
      <c r="E8" s="21" t="n">
        <v>28.82</v>
      </c>
      <c r="F8" s="21" t="n">
        <v>28.64</v>
      </c>
      <c r="G8" s="21" t="n">
        <v>28.45</v>
      </c>
      <c r="H8" s="21" t="n">
        <v>28.27</v>
      </c>
      <c r="I8" s="21" t="n">
        <v>28.09</v>
      </c>
      <c r="J8" s="21" t="n">
        <v>27.91</v>
      </c>
      <c r="K8" s="21" t="n">
        <v>27.73</v>
      </c>
      <c r="L8" s="21" t="n">
        <v>27.55</v>
      </c>
      <c r="M8" s="21" t="n">
        <v>27.36</v>
      </c>
      <c r="N8" s="21" t="n">
        <v>27.18</v>
      </c>
      <c r="O8" s="21" t="n">
        <v>27</v>
      </c>
      <c r="P8" s="22" t="n">
        <f aca="false">IF(COUNT(D8:O8)=0,"",IF(IFERROR(INDEX(Справочник_KPI!$G:$G,MATCH($A8,Справочник_KPI!$A:$A,0)),"")="sum",SUM(D8:O8),IF(IFERROR(INDEX(Справочник_KPI!$G:$G,MATCH($A8,Справочник_KPI!$A:$A,0)),"")="last",INDEX(D8:O8,COUNT(D8:O8)),AVERAGE(D8:O8))))</f>
        <v>27</v>
      </c>
    </row>
    <row r="9" customFormat="false" ht="15" hidden="false" customHeight="false" outlineLevel="0" collapsed="false">
      <c r="A9" s="13" t="s">
        <v>153</v>
      </c>
      <c r="B9" s="20" t="str">
        <f aca="false">IFERROR(INDEX(Справочник_KPI!$D:$D,MATCH($A9,Справочник_KPI!$A:$A,0)),"нет в справочнике")</f>
        <v>Просроченная ДЗ, % от ДЗ</v>
      </c>
      <c r="C9" s="20" t="str">
        <f aca="false">IFERROR(INDEX(Справочник_KPI!$E:$E,MATCH($A9,Справочник_KPI!$A:$A,0)),"")</f>
        <v>%</v>
      </c>
      <c r="D9" s="21" t="n">
        <v>5.5</v>
      </c>
      <c r="E9" s="21" t="n">
        <v>5.41</v>
      </c>
      <c r="F9" s="21" t="n">
        <v>5.32</v>
      </c>
      <c r="G9" s="21" t="n">
        <v>5.23</v>
      </c>
      <c r="H9" s="21" t="n">
        <v>5.14</v>
      </c>
      <c r="I9" s="21" t="n">
        <v>5.05</v>
      </c>
      <c r="J9" s="21" t="n">
        <v>4.95</v>
      </c>
      <c r="K9" s="21" t="n">
        <v>4.86</v>
      </c>
      <c r="L9" s="21" t="n">
        <v>4.77</v>
      </c>
      <c r="M9" s="21" t="n">
        <v>4.68</v>
      </c>
      <c r="N9" s="21" t="n">
        <v>4.59</v>
      </c>
      <c r="O9" s="21" t="n">
        <v>4.5</v>
      </c>
      <c r="P9" s="22" t="n">
        <f aca="false">IF(COUNT(D9:O9)=0,"",IF(IFERROR(INDEX(Справочник_KPI!$G:$G,MATCH($A9,Справочник_KPI!$A:$A,0)),"")="sum",SUM(D9:O9),IF(IFERROR(INDEX(Справочник_KPI!$G:$G,MATCH($A9,Справочник_KPI!$A:$A,0)),"")="last",INDEX(D9:O9,COUNT(D9:O9)),AVERAGE(D9:O9))))</f>
        <v>4.5</v>
      </c>
    </row>
    <row r="10" customFormat="false" ht="15" hidden="false" customHeight="false" outlineLevel="0" collapsed="false">
      <c r="A10" s="13" t="s">
        <v>159</v>
      </c>
      <c r="B10" s="20" t="str">
        <f aca="false">IFERROR(INDEX(Справочник_KPI!$D:$D,MATCH($A10,Справочник_KPI!$A:$A,0)),"нет в справочнике")</f>
        <v>Запас в днях (DIO)</v>
      </c>
      <c r="C10" s="20" t="str">
        <f aca="false">IFERROR(INDEX(Справочник_KPI!$E:$E,MATCH($A10,Справочник_KPI!$A:$A,0)),"")</f>
        <v>дни</v>
      </c>
      <c r="D10" s="21" t="n">
        <v>33</v>
      </c>
      <c r="E10" s="21" t="n">
        <v>32.82</v>
      </c>
      <c r="F10" s="21" t="n">
        <v>32.64</v>
      </c>
      <c r="G10" s="21" t="n">
        <v>32.45</v>
      </c>
      <c r="H10" s="21" t="n">
        <v>32.27</v>
      </c>
      <c r="I10" s="21" t="n">
        <v>32.09</v>
      </c>
      <c r="J10" s="21" t="n">
        <v>31.91</v>
      </c>
      <c r="K10" s="21" t="n">
        <v>31.73</v>
      </c>
      <c r="L10" s="21" t="n">
        <v>31.55</v>
      </c>
      <c r="M10" s="21" t="n">
        <v>31.36</v>
      </c>
      <c r="N10" s="21" t="n">
        <v>31.18</v>
      </c>
      <c r="O10" s="21" t="n">
        <v>31</v>
      </c>
      <c r="P10" s="22" t="n">
        <f aca="false">IF(COUNT(D10:O10)=0,"",IF(IFERROR(INDEX(Справочник_KPI!$G:$G,MATCH($A10,Справочник_KPI!$A:$A,0)),"")="sum",SUM(D10:O10),IF(IFERROR(INDEX(Справочник_KPI!$G:$G,MATCH($A10,Справочник_KPI!$A:$A,0)),"")="last",INDEX(D10:O10,COUNT(D10:O10)),AVERAGE(D10:O10))))</f>
        <v>31</v>
      </c>
    </row>
    <row r="11" customFormat="false" ht="15" hidden="false" customHeight="false" outlineLevel="0" collapsed="false">
      <c r="A11" s="13" t="s">
        <v>167</v>
      </c>
      <c r="B11" s="20" t="str">
        <f aca="false">IFERROR(INDEX(Справочник_KPI!$D:$D,MATCH($A11,Справочник_KPI!$A:$A,0)),"нет в справочнике")</f>
        <v>Отсрочка поставщикам (DPO)</v>
      </c>
      <c r="C11" s="20" t="str">
        <f aca="false">IFERROR(INDEX(Справочник_KPI!$E:$E,MATCH($A11,Справочник_KPI!$A:$A,0)),"")</f>
        <v>дни</v>
      </c>
      <c r="D11" s="21" t="n">
        <v>44</v>
      </c>
      <c r="E11" s="21" t="n">
        <v>44.18</v>
      </c>
      <c r="F11" s="21" t="n">
        <v>44.36</v>
      </c>
      <c r="G11" s="21" t="n">
        <v>44.55</v>
      </c>
      <c r="H11" s="21" t="n">
        <v>44.73</v>
      </c>
      <c r="I11" s="21" t="n">
        <v>44.91</v>
      </c>
      <c r="J11" s="21" t="n">
        <v>45.09</v>
      </c>
      <c r="K11" s="21" t="n">
        <v>45.27</v>
      </c>
      <c r="L11" s="21" t="n">
        <v>45.45</v>
      </c>
      <c r="M11" s="21" t="n">
        <v>45.64</v>
      </c>
      <c r="N11" s="21" t="n">
        <v>45.82</v>
      </c>
      <c r="O11" s="21" t="n">
        <v>46</v>
      </c>
      <c r="P11" s="22" t="n">
        <f aca="false">IF(COUNT(D11:O11)=0,"",IF(IFERROR(INDEX(Справочник_KPI!$G:$G,MATCH($A11,Справочник_KPI!$A:$A,0)),"")="sum",SUM(D11:O11),IF(IFERROR(INDEX(Справочник_KPI!$G:$G,MATCH($A11,Справочник_KPI!$A:$A,0)),"")="last",INDEX(D11:O11,COUNT(D11:O11)),AVERAGE(D11:O11))))</f>
        <v>46</v>
      </c>
    </row>
    <row r="12" customFormat="false" ht="15" hidden="false" customHeight="false" outlineLevel="0" collapsed="false">
      <c r="A12" s="13" t="s">
        <v>177</v>
      </c>
      <c r="B12" s="20" t="str">
        <f aca="false">IFERROR(INDEX(Справочник_KPI!$D:$D,MATCH($A12,Справочник_KPI!$A:$A,0)),"нет в справочнике")</f>
        <v>Чистый долг / EBITDA</v>
      </c>
      <c r="C12" s="20" t="str">
        <f aca="false">IFERROR(INDEX(Справочник_KPI!$E:$E,MATCH($A12,Справочник_KPI!$A:$A,0)),"")</f>
        <v>x</v>
      </c>
      <c r="D12" s="21" t="n">
        <v>1.6</v>
      </c>
      <c r="E12" s="21" t="n">
        <v>1.58</v>
      </c>
      <c r="F12" s="21" t="n">
        <v>1.56</v>
      </c>
      <c r="G12" s="21" t="n">
        <v>1.55</v>
      </c>
      <c r="H12" s="21" t="n">
        <v>1.53</v>
      </c>
      <c r="I12" s="21" t="n">
        <v>1.51</v>
      </c>
      <c r="J12" s="21" t="n">
        <v>1.49</v>
      </c>
      <c r="K12" s="21" t="n">
        <v>1.47</v>
      </c>
      <c r="L12" s="21" t="n">
        <v>1.45</v>
      </c>
      <c r="M12" s="21" t="n">
        <v>1.44</v>
      </c>
      <c r="N12" s="21" t="n">
        <v>1.42</v>
      </c>
      <c r="O12" s="21" t="n">
        <v>1.4</v>
      </c>
      <c r="P12" s="22" t="n">
        <f aca="false">IF(COUNT(D12:O12)=0,"",IF(IFERROR(INDEX(Справочник_KPI!$G:$G,MATCH($A12,Справочник_KPI!$A:$A,0)),"")="sum",SUM(D12:O12),IF(IFERROR(INDEX(Справочник_KPI!$G:$G,MATCH($A12,Справочник_KPI!$A:$A,0)),"")="last",INDEX(D12:O12,COUNT(D12:O12)),AVERAGE(D12:O12))))</f>
        <v>1.4</v>
      </c>
    </row>
    <row r="13" customFormat="false" ht="15" hidden="false" customHeight="false" outlineLevel="0" collapsed="false">
      <c r="A13" s="13" t="s">
        <v>185</v>
      </c>
      <c r="B13" s="20" t="str">
        <f aca="false">IFERROR(INDEX(Справочник_KPI!$D:$D,MATCH($A13,Справочник_KPI!$A:$A,0)),"нет в справочнике")</f>
        <v>Средняя ставка по кредитам</v>
      </c>
      <c r="C13" s="20" t="str">
        <f aca="false">IFERROR(INDEX(Справочник_KPI!$E:$E,MATCH($A13,Справочник_KPI!$A:$A,0)),"")</f>
        <v>%</v>
      </c>
      <c r="D13" s="21" t="n">
        <v>16.5</v>
      </c>
      <c r="E13" s="21" t="n">
        <v>16.41</v>
      </c>
      <c r="F13" s="21" t="n">
        <v>16.32</v>
      </c>
      <c r="G13" s="21" t="n">
        <v>16.23</v>
      </c>
      <c r="H13" s="21" t="n">
        <v>16.14</v>
      </c>
      <c r="I13" s="21" t="n">
        <v>16.05</v>
      </c>
      <c r="J13" s="21" t="n">
        <v>15.95</v>
      </c>
      <c r="K13" s="21" t="n">
        <v>15.86</v>
      </c>
      <c r="L13" s="21" t="n">
        <v>15.77</v>
      </c>
      <c r="M13" s="21" t="n">
        <v>15.68</v>
      </c>
      <c r="N13" s="21" t="n">
        <v>15.59</v>
      </c>
      <c r="O13" s="21" t="n">
        <v>15.5</v>
      </c>
      <c r="P13" s="22" t="n">
        <f aca="false">IF(COUNT(D13:O13)=0,"",IF(IFERROR(INDEX(Справочник_KPI!$G:$G,MATCH($A13,Справочник_KPI!$A:$A,0)),"")="sum",SUM(D13:O13),IF(IFERROR(INDEX(Справочник_KPI!$G:$G,MATCH($A13,Справочник_KPI!$A:$A,0)),"")="last",INDEX(D13:O13,COUNT(D13:O13)),AVERAGE(D13:O13))))</f>
        <v>15.5</v>
      </c>
    </row>
    <row r="14" customFormat="false" ht="15" hidden="false" customHeight="false" outlineLevel="0" collapsed="false">
      <c r="A14" s="13" t="s">
        <v>190</v>
      </c>
      <c r="B14" s="20" t="str">
        <f aca="false">IFERROR(INDEX(Справочник_KPI!$D:$D,MATCH($A14,Справочник_KPI!$A:$A,0)),"нет в справочнике")</f>
        <v>ROIC (годовой)</v>
      </c>
      <c r="C14" s="20" t="str">
        <f aca="false">IFERROR(INDEX(Справочник_KPI!$E:$E,MATCH($A14,Справочник_KPI!$A:$A,0)),"")</f>
        <v>%</v>
      </c>
      <c r="D14" s="21" t="n">
        <v>21</v>
      </c>
      <c r="E14" s="21" t="n">
        <v>21.18</v>
      </c>
      <c r="F14" s="21" t="n">
        <v>21.36</v>
      </c>
      <c r="G14" s="21" t="n">
        <v>21.55</v>
      </c>
      <c r="H14" s="21" t="n">
        <v>21.73</v>
      </c>
      <c r="I14" s="21" t="n">
        <v>21.91</v>
      </c>
      <c r="J14" s="21" t="n">
        <v>22.09</v>
      </c>
      <c r="K14" s="21" t="n">
        <v>22.27</v>
      </c>
      <c r="L14" s="21" t="n">
        <v>22.45</v>
      </c>
      <c r="M14" s="21" t="n">
        <v>22.64</v>
      </c>
      <c r="N14" s="21" t="n">
        <v>22.82</v>
      </c>
      <c r="O14" s="21" t="n">
        <v>23</v>
      </c>
      <c r="P14" s="22" t="n">
        <f aca="false">IF(COUNT(D14:O14)=0,"",IF(IFERROR(INDEX(Справочник_KPI!$G:$G,MATCH($A14,Справочник_KPI!$A:$A,0)),"")="sum",SUM(D14:O14),IF(IFERROR(INDEX(Справочник_KPI!$G:$G,MATCH($A14,Справочник_KPI!$A:$A,0)),"")="last",INDEX(D14:O14,COUNT(D14:O14)),AVERAGE(D14:O14))))</f>
        <v>23</v>
      </c>
    </row>
    <row r="15" customFormat="false" ht="15" hidden="false" customHeight="false" outlineLevel="0" collapsed="false">
      <c r="A15" s="13" t="s">
        <v>196</v>
      </c>
      <c r="B15" s="20" t="str">
        <f aca="false">IFERROR(INDEX(Справочник_KPI!$D:$D,MATCH($A15,Справочник_KPI!$A:$A,0)),"нет в справочнике")</f>
        <v>Доля рынка в ключевых категориях</v>
      </c>
      <c r="C15" s="20" t="str">
        <f aca="false">IFERROR(INDEX(Справочник_KPI!$E:$E,MATCH($A15,Справочник_KPI!$A:$A,0)),"")</f>
        <v>%</v>
      </c>
      <c r="D15" s="21" t="n">
        <v>13.6</v>
      </c>
      <c r="E15" s="21" t="n">
        <v>13.67</v>
      </c>
      <c r="F15" s="21" t="n">
        <v>13.75</v>
      </c>
      <c r="G15" s="21" t="n">
        <v>13.82</v>
      </c>
      <c r="H15" s="21" t="n">
        <v>13.89</v>
      </c>
      <c r="I15" s="21" t="n">
        <v>13.96</v>
      </c>
      <c r="J15" s="21" t="n">
        <v>14.04</v>
      </c>
      <c r="K15" s="21" t="n">
        <v>14.11</v>
      </c>
      <c r="L15" s="21" t="n">
        <v>14.18</v>
      </c>
      <c r="M15" s="21" t="n">
        <v>14.25</v>
      </c>
      <c r="N15" s="21" t="n">
        <v>14.33</v>
      </c>
      <c r="O15" s="21" t="n">
        <v>14.4</v>
      </c>
      <c r="P15" s="22" t="n">
        <f aca="false">IF(COUNT(D15:O15)=0,"",IF(IFERROR(INDEX(Справочник_KPI!$G:$G,MATCH($A15,Справочник_KPI!$A:$A,0)),"")="sum",SUM(D15:O15),IF(IFERROR(INDEX(Справочник_KPI!$G:$G,MATCH($A15,Справочник_KPI!$A:$A,0)),"")="last",INDEX(D15:O15,COUNT(D15:O15)),AVERAGE(D15:O15))))</f>
        <v>14.4</v>
      </c>
    </row>
    <row r="16" customFormat="false" ht="15" hidden="false" customHeight="false" outlineLevel="0" collapsed="false">
      <c r="A16" s="13" t="s">
        <v>203</v>
      </c>
      <c r="B16" s="20" t="str">
        <f aca="false">IFERROR(INDEX(Справочник_KPI!$D:$D,MATCH($A16,Справочник_KPI!$A:$A,0)),"нет в справочнике")</f>
        <v>АКБ (активные ТТ, 30 дней)</v>
      </c>
      <c r="C16" s="20" t="str">
        <f aca="false">IFERROR(INDEX(Справочник_KPI!$E:$E,MATCH($A16,Справочник_KPI!$A:$A,0)),"")</f>
        <v>ТТ</v>
      </c>
      <c r="D16" s="23" t="n">
        <v>17800</v>
      </c>
      <c r="E16" s="23" t="n">
        <v>17891</v>
      </c>
      <c r="F16" s="23" t="n">
        <v>17982</v>
      </c>
      <c r="G16" s="23" t="n">
        <v>18073</v>
      </c>
      <c r="H16" s="23" t="n">
        <v>18164</v>
      </c>
      <c r="I16" s="23" t="n">
        <v>18255</v>
      </c>
      <c r="J16" s="23" t="n">
        <v>18345</v>
      </c>
      <c r="K16" s="23" t="n">
        <v>18436</v>
      </c>
      <c r="L16" s="23" t="n">
        <v>18527</v>
      </c>
      <c r="M16" s="23" t="n">
        <v>18618</v>
      </c>
      <c r="N16" s="23" t="n">
        <v>18709</v>
      </c>
      <c r="O16" s="23" t="n">
        <v>18800</v>
      </c>
      <c r="P16" s="22" t="n">
        <f aca="false">IF(COUNT(D16:O16)=0,"",IF(IFERROR(INDEX(Справочник_KPI!$G:$G,MATCH($A16,Справочник_KPI!$A:$A,0)),"")="sum",SUM(D16:O16),IF(IFERROR(INDEX(Справочник_KPI!$G:$G,MATCH($A16,Справочник_KPI!$A:$A,0)),"")="last",INDEX(D16:O16,COUNT(D16:O16)),AVERAGE(D16:O16))))</f>
        <v>18800</v>
      </c>
    </row>
    <row r="17" customFormat="false" ht="15" hidden="false" customHeight="false" outlineLevel="0" collapsed="false">
      <c r="A17" s="13" t="s">
        <v>211</v>
      </c>
      <c r="B17" s="20" t="str">
        <f aca="false">IFERROR(INDEX(Справочник_KPI!$D:$D,MATCH($A17,Справочник_KPI!$A:$A,0)),"нет в справочнике")</f>
        <v>Численность персонала</v>
      </c>
      <c r="C17" s="20" t="str">
        <f aca="false">IFERROR(INDEX(Справочник_KPI!$E:$E,MATCH($A17,Справочник_KPI!$A:$A,0)),"")</f>
        <v>чел</v>
      </c>
      <c r="D17" s="23" t="n">
        <v>1000</v>
      </c>
      <c r="E17" s="23" t="n">
        <v>1000</v>
      </c>
      <c r="F17" s="23" t="n">
        <v>1000</v>
      </c>
      <c r="G17" s="23" t="n">
        <v>1000</v>
      </c>
      <c r="H17" s="23" t="n">
        <v>1000</v>
      </c>
      <c r="I17" s="23" t="n">
        <v>1000</v>
      </c>
      <c r="J17" s="23" t="n">
        <v>1000</v>
      </c>
      <c r="K17" s="23" t="n">
        <v>1000</v>
      </c>
      <c r="L17" s="23" t="n">
        <v>1000</v>
      </c>
      <c r="M17" s="23" t="n">
        <v>1000</v>
      </c>
      <c r="N17" s="23" t="n">
        <v>1000</v>
      </c>
      <c r="O17" s="23" t="n">
        <v>1000</v>
      </c>
      <c r="P17" s="22" t="n">
        <f aca="false">IF(COUNT(D17:O17)=0,"",IF(IFERROR(INDEX(Справочник_KPI!$G:$G,MATCH($A17,Справочник_KPI!$A:$A,0)),"")="sum",SUM(D17:O17),IF(IFERROR(INDEX(Справочник_KPI!$G:$G,MATCH($A17,Справочник_KPI!$A:$A,0)),"")="last",INDEX(D17:O17,COUNT(D17:O17)),AVERAGE(D17:O17))))</f>
        <v>1000</v>
      </c>
    </row>
    <row r="18" customFormat="false" ht="15" hidden="false" customHeight="false" outlineLevel="0" collapsed="false">
      <c r="A18" s="13" t="s">
        <v>219</v>
      </c>
      <c r="B18" s="20" t="str">
        <f aca="false">IFERROR(INDEX(Справочник_KPI!$D:$D,MATCH($A18,Справочник_KPI!$A:$A,0)),"нет в справочнике")</f>
        <v>Текучесть персонала (12 мес)</v>
      </c>
      <c r="C18" s="20" t="str">
        <f aca="false">IFERROR(INDEX(Справочник_KPI!$E:$E,MATCH($A18,Справочник_KPI!$A:$A,0)),"")</f>
        <v>%</v>
      </c>
      <c r="D18" s="21" t="n">
        <v>26</v>
      </c>
      <c r="E18" s="21" t="n">
        <v>25.82</v>
      </c>
      <c r="F18" s="21" t="n">
        <v>25.64</v>
      </c>
      <c r="G18" s="21" t="n">
        <v>25.45</v>
      </c>
      <c r="H18" s="21" t="n">
        <v>25.27</v>
      </c>
      <c r="I18" s="21" t="n">
        <v>25.09</v>
      </c>
      <c r="J18" s="21" t="n">
        <v>24.91</v>
      </c>
      <c r="K18" s="21" t="n">
        <v>24.73</v>
      </c>
      <c r="L18" s="21" t="n">
        <v>24.55</v>
      </c>
      <c r="M18" s="21" t="n">
        <v>24.36</v>
      </c>
      <c r="N18" s="21" t="n">
        <v>24.18</v>
      </c>
      <c r="O18" s="21" t="n">
        <v>24</v>
      </c>
      <c r="P18" s="22" t="n">
        <f aca="false">IF(COUNT(D18:O18)=0,"",IF(IFERROR(INDEX(Справочник_KPI!$G:$G,MATCH($A18,Справочник_KPI!$A:$A,0)),"")="sum",SUM(D18:O18),IF(IFERROR(INDEX(Справочник_KPI!$G:$G,MATCH($A18,Справочник_KPI!$A:$A,0)),"")="last",INDEX(D18:O18,COUNT(D18:O18)),AVERAGE(D18:O18))))</f>
        <v>24</v>
      </c>
    </row>
    <row r="19" customFormat="false" ht="15" hidden="false" customHeight="false" outlineLevel="0" collapsed="false">
      <c r="A19" s="13" t="s">
        <v>229</v>
      </c>
      <c r="B19" s="20" t="str">
        <f aca="false">IFERROR(INDEX(Справочник_KPI!$D:$D,MATCH($A19,Справочник_KPI!$A:$A,0)),"нет в справочнике")</f>
        <v>Объём отгрузок</v>
      </c>
      <c r="C19" s="20" t="str">
        <f aca="false">IFERROR(INDEX(Справочник_KPI!$E:$E,MATCH($A19,Справочник_KPI!$A:$A,0)),"")</f>
        <v>т</v>
      </c>
      <c r="D19" s="23" t="n">
        <v>8352</v>
      </c>
      <c r="E19" s="23" t="n">
        <v>8236</v>
      </c>
      <c r="F19" s="23" t="n">
        <v>9396</v>
      </c>
      <c r="G19" s="23" t="n">
        <v>9280</v>
      </c>
      <c r="H19" s="23" t="n">
        <v>9628</v>
      </c>
      <c r="I19" s="23" t="n">
        <v>9744</v>
      </c>
      <c r="J19" s="23" t="n">
        <v>9976</v>
      </c>
      <c r="K19" s="23" t="n">
        <v>10092</v>
      </c>
      <c r="L19" s="23" t="n">
        <v>9744</v>
      </c>
      <c r="M19" s="23" t="n">
        <v>10092</v>
      </c>
      <c r="N19" s="23" t="n">
        <v>9976</v>
      </c>
      <c r="O19" s="23" t="n">
        <v>11484</v>
      </c>
      <c r="P19" s="22" t="n">
        <f aca="false">IF(COUNT(D19:O19)=0,"",IF(IFERROR(INDEX(Справочник_KPI!$G:$G,MATCH($A19,Справочник_KPI!$A:$A,0)),"")="sum",SUM(D19:O19),IF(IFERROR(INDEX(Справочник_KPI!$G:$G,MATCH($A19,Справочник_KPI!$A:$A,0)),"")="last",INDEX(D19:O19,COUNT(D19:O19)),AVERAGE(D19:O19))))</f>
        <v>116000</v>
      </c>
    </row>
    <row r="20" customFormat="false" ht="15" hidden="false" customHeight="false" outlineLevel="0" collapsed="false">
      <c r="A20" s="13" t="s">
        <v>236</v>
      </c>
      <c r="B20" s="20" t="str">
        <f aca="false">IFERROR(INDEX(Справочник_KPI!$D:$D,MATCH($A20,Справочник_KPI!$A:$A,0)),"нет в справочнике")</f>
        <v>Новые ТТ</v>
      </c>
      <c r="C20" s="20" t="str">
        <f aca="false">IFERROR(INDEX(Справочник_KPI!$E:$E,MATCH($A20,Справочник_KPI!$A:$A,0)),"")</f>
        <v>ТТ</v>
      </c>
      <c r="D20" s="23" t="n">
        <v>389</v>
      </c>
      <c r="E20" s="23" t="n">
        <v>383</v>
      </c>
      <c r="F20" s="23" t="n">
        <v>437</v>
      </c>
      <c r="G20" s="23" t="n">
        <v>432</v>
      </c>
      <c r="H20" s="23" t="n">
        <v>448</v>
      </c>
      <c r="I20" s="23" t="n">
        <v>454</v>
      </c>
      <c r="J20" s="23" t="n">
        <v>464</v>
      </c>
      <c r="K20" s="23" t="n">
        <v>470</v>
      </c>
      <c r="L20" s="23" t="n">
        <v>454</v>
      </c>
      <c r="M20" s="23" t="n">
        <v>470</v>
      </c>
      <c r="N20" s="23" t="n">
        <v>464</v>
      </c>
      <c r="O20" s="23" t="n">
        <v>535</v>
      </c>
      <c r="P20" s="22" t="n">
        <f aca="false">IF(COUNT(D20:O20)=0,"",IF(IFERROR(INDEX(Справочник_KPI!$G:$G,MATCH($A20,Справочник_KPI!$A:$A,0)),"")="sum",SUM(D20:O20),IF(IFERROR(INDEX(Справочник_KPI!$G:$G,MATCH($A20,Справочник_KPI!$A:$A,0)),"")="last",INDEX(D20:O20,COUNT(D20:O20)),AVERAGE(D20:O20))))</f>
        <v>5400</v>
      </c>
    </row>
    <row r="21" customFormat="false" ht="15" hidden="false" customHeight="false" outlineLevel="0" collapsed="false">
      <c r="A21" s="13" t="s">
        <v>241</v>
      </c>
      <c r="B21" s="20" t="str">
        <f aca="false">IFERROR(INDEX(Справочник_KPI!$D:$D,MATCH($A21,Справочник_KPI!$A:$A,0)),"нет в справочнике")</f>
        <v>Числовая дистрибуция must-list</v>
      </c>
      <c r="C21" s="20" t="str">
        <f aca="false">IFERROR(INDEX(Справочник_KPI!$E:$E,MATCH($A21,Справочник_KPI!$A:$A,0)),"")</f>
        <v>%</v>
      </c>
      <c r="D21" s="21" t="n">
        <v>84</v>
      </c>
      <c r="E21" s="21" t="n">
        <v>84.18</v>
      </c>
      <c r="F21" s="21" t="n">
        <v>84.36</v>
      </c>
      <c r="G21" s="21" t="n">
        <v>84.55</v>
      </c>
      <c r="H21" s="21" t="n">
        <v>84.73</v>
      </c>
      <c r="I21" s="21" t="n">
        <v>84.91</v>
      </c>
      <c r="J21" s="21" t="n">
        <v>85.09</v>
      </c>
      <c r="K21" s="21" t="n">
        <v>85.27</v>
      </c>
      <c r="L21" s="21" t="n">
        <v>85.45</v>
      </c>
      <c r="M21" s="21" t="n">
        <v>85.64</v>
      </c>
      <c r="N21" s="21" t="n">
        <v>85.82</v>
      </c>
      <c r="O21" s="21" t="n">
        <v>86</v>
      </c>
      <c r="P21" s="22" t="n">
        <f aca="false">IF(COUNT(D21:O21)=0,"",IF(IFERROR(INDEX(Справочник_KPI!$G:$G,MATCH($A21,Справочник_KPI!$A:$A,0)),"")="sum",SUM(D21:O21),IF(IFERROR(INDEX(Справочник_KPI!$G:$G,MATCH($A21,Справочник_KPI!$A:$A,0)),"")="last",INDEX(D21:O21,COUNT(D21:O21)),AVERAGE(D21:O21))))</f>
        <v>85</v>
      </c>
    </row>
    <row r="22" customFormat="false" ht="15" hidden="false" customHeight="false" outlineLevel="0" collapsed="false">
      <c r="A22" s="13" t="s">
        <v>247</v>
      </c>
      <c r="B22" s="20" t="str">
        <f aca="false">IFERROR(INDEX(Справочник_KPI!$D:$D,MATCH($A22,Справочник_KPI!$A:$A,0)),"нет в справочнике")</f>
        <v>Количество заказов</v>
      </c>
      <c r="C22" s="20" t="str">
        <f aca="false">IFERROR(INDEX(Справочник_KPI!$E:$E,MATCH($A22,Справочник_KPI!$A:$A,0)),"")</f>
        <v>шт</v>
      </c>
      <c r="D22" s="23" t="n">
        <v>60264</v>
      </c>
      <c r="E22" s="23" t="n">
        <v>59427</v>
      </c>
      <c r="F22" s="23" t="n">
        <v>67797</v>
      </c>
      <c r="G22" s="23" t="n">
        <v>66960</v>
      </c>
      <c r="H22" s="23" t="n">
        <v>69471</v>
      </c>
      <c r="I22" s="23" t="n">
        <v>70308</v>
      </c>
      <c r="J22" s="23" t="n">
        <v>71982</v>
      </c>
      <c r="K22" s="23" t="n">
        <v>72819</v>
      </c>
      <c r="L22" s="23" t="n">
        <v>70308</v>
      </c>
      <c r="M22" s="23" t="n">
        <v>72819</v>
      </c>
      <c r="N22" s="23" t="n">
        <v>71982</v>
      </c>
      <c r="O22" s="23" t="n">
        <v>82863</v>
      </c>
      <c r="P22" s="22" t="n">
        <f aca="false">IF(COUNT(D22:O22)=0,"",IF(IFERROR(INDEX(Справочник_KPI!$G:$G,MATCH($A22,Справочник_KPI!$A:$A,0)),"")="sum",SUM(D22:O22),IF(IFERROR(INDEX(Справочник_KPI!$G:$G,MATCH($A22,Справочник_KPI!$A:$A,0)),"")="last",INDEX(D22:O22,COUNT(D22:O22)),AVERAGE(D22:O22))))</f>
        <v>837000</v>
      </c>
    </row>
    <row r="23" customFormat="false" ht="15" hidden="false" customHeight="false" outlineLevel="0" collapsed="false">
      <c r="A23" s="13" t="s">
        <v>260</v>
      </c>
      <c r="B23" s="20" t="str">
        <f aca="false">IFERROR(INDEX(Справочник_KPI!$D:$D,MATCH($A23,Справочник_KPI!$A:$A,0)),"нет в справочнике")</f>
        <v>Строк (SKU) в заказе</v>
      </c>
      <c r="C23" s="20" t="str">
        <f aca="false">IFERROR(INDEX(Справочник_KPI!$E:$E,MATCH($A23,Справочник_KPI!$A:$A,0)),"")</f>
        <v>шт</v>
      </c>
      <c r="D23" s="21" t="n">
        <v>13.8</v>
      </c>
      <c r="E23" s="21" t="n">
        <v>13.84</v>
      </c>
      <c r="F23" s="21" t="n">
        <v>13.87</v>
      </c>
      <c r="G23" s="21" t="n">
        <v>13.91</v>
      </c>
      <c r="H23" s="21" t="n">
        <v>13.95</v>
      </c>
      <c r="I23" s="21" t="n">
        <v>13.98</v>
      </c>
      <c r="J23" s="21" t="n">
        <v>14.02</v>
      </c>
      <c r="K23" s="21" t="n">
        <v>14.05</v>
      </c>
      <c r="L23" s="21" t="n">
        <v>14.09</v>
      </c>
      <c r="M23" s="21" t="n">
        <v>14.13</v>
      </c>
      <c r="N23" s="21" t="n">
        <v>14.16</v>
      </c>
      <c r="O23" s="21" t="n">
        <v>14.2</v>
      </c>
      <c r="P23" s="22" t="n">
        <f aca="false">IF(COUNT(D23:O23)=0,"",IF(IFERROR(INDEX(Справочник_KPI!$G:$G,MATCH($A23,Справочник_KPI!$A:$A,0)),"")="sum",SUM(D23:O23),IF(IFERROR(INDEX(Справочник_KPI!$G:$G,MATCH($A23,Справочник_KPI!$A:$A,0)),"")="last",INDEX(D23:O23,COUNT(D23:O23)),AVERAGE(D23:O23))))</f>
        <v>14</v>
      </c>
    </row>
    <row r="24" customFormat="false" ht="15" hidden="false" customHeight="false" outlineLevel="0" collapsed="false">
      <c r="A24" s="13" t="s">
        <v>265</v>
      </c>
      <c r="B24" s="20" t="str">
        <f aca="false">IFERROR(INDEX(Справочник_KPI!$D:$D,MATCH($A24,Справочник_KPI!$A:$A,0)),"нет в справочнике")</f>
        <v>Результативность визитов (strike rate)</v>
      </c>
      <c r="C24" s="20" t="str">
        <f aca="false">IFERROR(INDEX(Справочник_KPI!$E:$E,MATCH($A24,Справочник_KPI!$A:$A,0)),"")</f>
        <v>%</v>
      </c>
      <c r="D24" s="21" t="n">
        <v>77</v>
      </c>
      <c r="E24" s="21" t="n">
        <v>77.18</v>
      </c>
      <c r="F24" s="21" t="n">
        <v>77.36</v>
      </c>
      <c r="G24" s="21" t="n">
        <v>77.55</v>
      </c>
      <c r="H24" s="21" t="n">
        <v>77.73</v>
      </c>
      <c r="I24" s="21" t="n">
        <v>77.91</v>
      </c>
      <c r="J24" s="21" t="n">
        <v>78.09</v>
      </c>
      <c r="K24" s="21" t="n">
        <v>78.27</v>
      </c>
      <c r="L24" s="21" t="n">
        <v>78.45</v>
      </c>
      <c r="M24" s="21" t="n">
        <v>78.64</v>
      </c>
      <c r="N24" s="21" t="n">
        <v>78.82</v>
      </c>
      <c r="O24" s="21" t="n">
        <v>79</v>
      </c>
      <c r="P24" s="22" t="n">
        <f aca="false">IF(COUNT(D24:O24)=0,"",IF(IFERROR(INDEX(Справочник_KPI!$G:$G,MATCH($A24,Справочник_KPI!$A:$A,0)),"")="sum",SUM(D24:O24),IF(IFERROR(INDEX(Справочник_KPI!$G:$G,MATCH($A24,Справочник_KPI!$A:$A,0)),"")="last",INDEX(D24:O24,COUNT(D24:O24)),AVERAGE(D24:O24))))</f>
        <v>78</v>
      </c>
    </row>
    <row r="25" customFormat="false" ht="15" hidden="false" customHeight="false" outlineLevel="0" collapsed="false">
      <c r="A25" s="13" t="s">
        <v>270</v>
      </c>
      <c r="B25" s="20" t="str">
        <f aca="false">IFERROR(INDEX(Справочник_KPI!$D:$D,MATCH($A25,Справочник_KPI!$A:$A,0)),"нет в справочнике")</f>
        <v>Выполнение маршрутов ТП</v>
      </c>
      <c r="C25" s="20" t="str">
        <f aca="false">IFERROR(INDEX(Справочник_KPI!$E:$E,MATCH($A25,Справочник_KPI!$A:$A,0)),"")</f>
        <v>%</v>
      </c>
      <c r="D25" s="21" t="n">
        <v>95</v>
      </c>
      <c r="E25" s="21" t="n">
        <v>95</v>
      </c>
      <c r="F25" s="21" t="n">
        <v>95</v>
      </c>
      <c r="G25" s="21" t="n">
        <v>95</v>
      </c>
      <c r="H25" s="21" t="n">
        <v>95</v>
      </c>
      <c r="I25" s="21" t="n">
        <v>95</v>
      </c>
      <c r="J25" s="21" t="n">
        <v>95</v>
      </c>
      <c r="K25" s="21" t="n">
        <v>95</v>
      </c>
      <c r="L25" s="21" t="n">
        <v>95</v>
      </c>
      <c r="M25" s="21" t="n">
        <v>95</v>
      </c>
      <c r="N25" s="21" t="n">
        <v>95</v>
      </c>
      <c r="O25" s="21" t="n">
        <v>95</v>
      </c>
      <c r="P25" s="22" t="n">
        <f aca="false">IF(COUNT(D25:O25)=0,"",IF(IFERROR(INDEX(Справочник_KPI!$G:$G,MATCH($A25,Справочник_KPI!$A:$A,0)),"")="sum",SUM(D25:O25),IF(IFERROR(INDEX(Справочник_KPI!$G:$G,MATCH($A25,Справочник_KPI!$A:$A,0)),"")="last",INDEX(D25:O25,COUNT(D25:O25)),AVERAGE(D25:O25))))</f>
        <v>95</v>
      </c>
    </row>
    <row r="26" customFormat="false" ht="15" hidden="false" customHeight="false" outlineLevel="0" collapsed="false">
      <c r="A26" s="13" t="s">
        <v>275</v>
      </c>
      <c r="B26" s="20" t="str">
        <f aca="false">IFERROR(INDEX(Справочник_KPI!$D:$D,MATCH($A26,Справочник_KPI!$A:$A,0)),"нет в справочнике")</f>
        <v>OTIF клиентам</v>
      </c>
      <c r="C26" s="20" t="str">
        <f aca="false">IFERROR(INDEX(Справочник_KPI!$E:$E,MATCH($A26,Справочник_KPI!$A:$A,0)),"")</f>
        <v>%</v>
      </c>
      <c r="D26" s="21" t="n">
        <v>96</v>
      </c>
      <c r="E26" s="21" t="n">
        <v>96.05</v>
      </c>
      <c r="F26" s="21" t="n">
        <v>96.09</v>
      </c>
      <c r="G26" s="21" t="n">
        <v>96.14</v>
      </c>
      <c r="H26" s="21" t="n">
        <v>96.18</v>
      </c>
      <c r="I26" s="21" t="n">
        <v>96.23</v>
      </c>
      <c r="J26" s="21" t="n">
        <v>96.27</v>
      </c>
      <c r="K26" s="21" t="n">
        <v>96.32</v>
      </c>
      <c r="L26" s="21" t="n">
        <v>96.36</v>
      </c>
      <c r="M26" s="21" t="n">
        <v>96.41</v>
      </c>
      <c r="N26" s="21" t="n">
        <v>96.45</v>
      </c>
      <c r="O26" s="21" t="n">
        <v>96.5</v>
      </c>
      <c r="P26" s="22" t="n">
        <f aca="false">IF(COUNT(D26:O26)=0,"",IF(IFERROR(INDEX(Справочник_KPI!$G:$G,MATCH($A26,Справочник_KPI!$A:$A,0)),"")="sum",SUM(D26:O26),IF(IFERROR(INDEX(Справочник_KPI!$G:$G,MATCH($A26,Справочник_KPI!$A:$A,0)),"")="last",INDEX(D26:O26,COUNT(D26:O26)),AVERAGE(D26:O26))))</f>
        <v>96.25</v>
      </c>
    </row>
    <row r="27" customFormat="false" ht="15" hidden="false" customHeight="false" outlineLevel="0" collapsed="false">
      <c r="A27" s="13" t="s">
        <v>281</v>
      </c>
      <c r="B27" s="20" t="str">
        <f aca="false">IFERROR(INDEX(Справочник_KPI!$D:$D,MATCH($A27,Справочник_KPI!$A:$A,0)),"нет в справочнике")</f>
        <v>Возвраты (служебный)</v>
      </c>
      <c r="C27" s="20" t="str">
        <f aca="false">IFERROR(INDEX(Справочник_KPI!$E:$E,MATCH($A27,Справочник_KPI!$A:$A,0)),"")</f>
        <v>млн грн</v>
      </c>
      <c r="D27" s="21" t="n">
        <v>6.22</v>
      </c>
      <c r="E27" s="21" t="n">
        <v>6.13</v>
      </c>
      <c r="F27" s="21" t="n">
        <v>7</v>
      </c>
      <c r="G27" s="21" t="n">
        <v>6.91</v>
      </c>
      <c r="H27" s="21" t="n">
        <v>7.17</v>
      </c>
      <c r="I27" s="21" t="n">
        <v>7.26</v>
      </c>
      <c r="J27" s="21" t="n">
        <v>7.43</v>
      </c>
      <c r="K27" s="21" t="n">
        <v>7.52</v>
      </c>
      <c r="L27" s="21" t="n">
        <v>7.26</v>
      </c>
      <c r="M27" s="21" t="n">
        <v>7.52</v>
      </c>
      <c r="N27" s="21" t="n">
        <v>7.43</v>
      </c>
      <c r="O27" s="21" t="n">
        <v>8.55</v>
      </c>
      <c r="P27" s="22" t="n">
        <f aca="false">IF(COUNT(D27:O27)=0,"",IF(IFERROR(INDEX(Справочник_KPI!$G:$G,MATCH($A27,Справочник_KPI!$A:$A,0)),"")="sum",SUM(D27:O27),IF(IFERROR(INDEX(Справочник_KPI!$G:$G,MATCH($A27,Справочник_KPI!$A:$A,0)),"")="last",INDEX(D27:O27,COUNT(D27:O27)),AVERAGE(D27:O27))))</f>
        <v>86.4</v>
      </c>
    </row>
    <row r="28" customFormat="false" ht="15" hidden="false" customHeight="false" outlineLevel="0" collapsed="false">
      <c r="A28" s="13" t="s">
        <v>290</v>
      </c>
      <c r="B28" s="20" t="str">
        <f aca="false">IFERROR(INDEX(Справочник_KPI!$D:$D,MATCH($A28,Справочник_KPI!$A:$A,0)),"нет в справочнике")</f>
        <v>Скидки и промо (служебный)</v>
      </c>
      <c r="C28" s="20" t="str">
        <f aca="false">IFERROR(INDEX(Справочник_KPI!$E:$E,MATCH($A28,Справочник_KPI!$A:$A,0)),"")</f>
        <v>млн грн</v>
      </c>
      <c r="D28" s="21" t="n">
        <v>18.14</v>
      </c>
      <c r="E28" s="21" t="n">
        <v>17.89</v>
      </c>
      <c r="F28" s="21" t="n">
        <v>20.41</v>
      </c>
      <c r="G28" s="21" t="n">
        <v>20.16</v>
      </c>
      <c r="H28" s="21" t="n">
        <v>20.92</v>
      </c>
      <c r="I28" s="21" t="n">
        <v>21.17</v>
      </c>
      <c r="J28" s="21" t="n">
        <v>21.67</v>
      </c>
      <c r="K28" s="21" t="n">
        <v>21.92</v>
      </c>
      <c r="L28" s="21" t="n">
        <v>21.17</v>
      </c>
      <c r="M28" s="21" t="n">
        <v>21.92</v>
      </c>
      <c r="N28" s="21" t="n">
        <v>21.67</v>
      </c>
      <c r="O28" s="21" t="n">
        <v>24.95</v>
      </c>
      <c r="P28" s="22" t="n">
        <f aca="false">IF(COUNT(D28:O28)=0,"",IF(IFERROR(INDEX(Справочник_KPI!$G:$G,MATCH($A28,Справочник_KPI!$A:$A,0)),"")="sum",SUM(D28:O28),IF(IFERROR(INDEX(Справочник_KPI!$G:$G,MATCH($A28,Справочник_KPI!$A:$A,0)),"")="last",INDEX(D28:O28,COUNT(D28:O28)),AVERAGE(D28:O28))))</f>
        <v>251.99</v>
      </c>
    </row>
    <row r="29" customFormat="false" ht="15" hidden="false" customHeight="false" outlineLevel="0" collapsed="false">
      <c r="A29" s="13" t="s">
        <v>299</v>
      </c>
      <c r="B29" s="20" t="str">
        <f aca="false">IFERROR(INDEX(Справочник_KPI!$D:$D,MATCH($A29,Справочник_KPI!$A:$A,0)),"нет в справочнике")</f>
        <v>Инкассация ДЗ (собрано / к оплате)</v>
      </c>
      <c r="C29" s="20" t="str">
        <f aca="false">IFERROR(INDEX(Справочник_KPI!$E:$E,MATCH($A29,Справочник_KPI!$A:$A,0)),"")</f>
        <v>%</v>
      </c>
      <c r="D29" s="21" t="n">
        <v>98</v>
      </c>
      <c r="E29" s="21" t="n">
        <v>98</v>
      </c>
      <c r="F29" s="21" t="n">
        <v>98</v>
      </c>
      <c r="G29" s="21" t="n">
        <v>98</v>
      </c>
      <c r="H29" s="21" t="n">
        <v>98</v>
      </c>
      <c r="I29" s="21" t="n">
        <v>98</v>
      </c>
      <c r="J29" s="21" t="n">
        <v>98</v>
      </c>
      <c r="K29" s="21" t="n">
        <v>98</v>
      </c>
      <c r="L29" s="21" t="n">
        <v>98</v>
      </c>
      <c r="M29" s="21" t="n">
        <v>98</v>
      </c>
      <c r="N29" s="21" t="n">
        <v>98</v>
      </c>
      <c r="O29" s="21" t="n">
        <v>98</v>
      </c>
      <c r="P29" s="22" t="n">
        <f aca="false">IF(COUNT(D29:O29)=0,"",IF(IFERROR(INDEX(Справочник_KPI!$G:$G,MATCH($A29,Справочник_KPI!$A:$A,0)),"")="sum",SUM(D29:O29),IF(IFERROR(INDEX(Справочник_KPI!$G:$G,MATCH($A29,Справочник_KPI!$A:$A,0)),"")="last",INDEX(D29:O29,COUNT(D29:O29)),AVERAGE(D29:O29))))</f>
        <v>98</v>
      </c>
    </row>
    <row r="30" customFormat="false" ht="15" hidden="false" customHeight="false" outlineLevel="0" collapsed="false">
      <c r="A30" s="13" t="s">
        <v>304</v>
      </c>
      <c r="B30" s="20" t="str">
        <f aca="false">IFERROR(INDEX(Справочник_KPI!$D:$D,MATCH($A30,Справочник_KPI!$A:$A,0)),"нет в справочнике")</f>
        <v>Объём закупок</v>
      </c>
      <c r="C30" s="20" t="str">
        <f aca="false">IFERROR(INDEX(Справочник_KPI!$E:$E,MATCH($A30,Справочник_KPI!$A:$A,0)),"")</f>
        <v>млн грн</v>
      </c>
      <c r="D30" s="21" t="n">
        <v>419.9</v>
      </c>
      <c r="E30" s="21" t="n">
        <v>414.07</v>
      </c>
      <c r="F30" s="21" t="n">
        <v>472.39</v>
      </c>
      <c r="G30" s="21" t="n">
        <v>466.56</v>
      </c>
      <c r="H30" s="21" t="n">
        <v>484.06</v>
      </c>
      <c r="I30" s="21" t="n">
        <v>489.89</v>
      </c>
      <c r="J30" s="21" t="n">
        <v>501.55</v>
      </c>
      <c r="K30" s="21" t="n">
        <v>507.38</v>
      </c>
      <c r="L30" s="21" t="n">
        <v>489.89</v>
      </c>
      <c r="M30" s="21" t="n">
        <v>507.38</v>
      </c>
      <c r="N30" s="21" t="n">
        <v>501.55</v>
      </c>
      <c r="O30" s="21" t="n">
        <v>577.37</v>
      </c>
      <c r="P30" s="22" t="n">
        <f aca="false">IF(COUNT(D30:O30)=0,"",IF(IFERROR(INDEX(Справочник_KPI!$G:$G,MATCH($A30,Справочник_KPI!$A:$A,0)),"")="sum",SUM(D30:O30),IF(IFERROR(INDEX(Справочник_KPI!$G:$G,MATCH($A30,Справочник_KPI!$A:$A,0)),"")="last",INDEX(D30:O30,COUNT(D30:O30)),AVERAGE(D30:O30))))</f>
        <v>5831.99</v>
      </c>
    </row>
    <row r="31" customFormat="false" ht="15" hidden="false" customHeight="false" outlineLevel="0" collapsed="false">
      <c r="A31" s="13" t="s">
        <v>310</v>
      </c>
      <c r="B31" s="20" t="str">
        <f aca="false">IFERROR(INDEX(Справочник_KPI!$D:$D,MATCH($A31,Справочник_KPI!$A:$A,0)),"нет в справочнике")</f>
        <v>Товарный запас</v>
      </c>
      <c r="C31" s="20" t="str">
        <f aca="false">IFERROR(INDEX(Справочник_KPI!$E:$E,MATCH($A31,Справочник_KPI!$A:$A,0)),"")</f>
        <v>млн грн</v>
      </c>
      <c r="D31" s="21" t="n">
        <v>470</v>
      </c>
      <c r="E31" s="21" t="n">
        <v>471.82</v>
      </c>
      <c r="F31" s="21" t="n">
        <v>473.64</v>
      </c>
      <c r="G31" s="21" t="n">
        <v>475.45</v>
      </c>
      <c r="H31" s="21" t="n">
        <v>477.27</v>
      </c>
      <c r="I31" s="21" t="n">
        <v>479.09</v>
      </c>
      <c r="J31" s="21" t="n">
        <v>480.91</v>
      </c>
      <c r="K31" s="21" t="n">
        <v>482.73</v>
      </c>
      <c r="L31" s="21" t="n">
        <v>484.55</v>
      </c>
      <c r="M31" s="21" t="n">
        <v>486.36</v>
      </c>
      <c r="N31" s="21" t="n">
        <v>488.18</v>
      </c>
      <c r="O31" s="21" t="n">
        <v>490</v>
      </c>
      <c r="P31" s="22" t="n">
        <f aca="false">IF(COUNT(D31:O31)=0,"",IF(IFERROR(INDEX(Справочник_KPI!$G:$G,MATCH($A31,Справочник_KPI!$A:$A,0)),"")="sum",SUM(D31:O31),IF(IFERROR(INDEX(Справочник_KPI!$G:$G,MATCH($A31,Справочник_KPI!$A:$A,0)),"")="last",INDEX(D31:O31,COUNT(D31:O31)),AVERAGE(D31:O31))))</f>
        <v>490</v>
      </c>
    </row>
    <row r="32" customFormat="false" ht="15" hidden="false" customHeight="false" outlineLevel="0" collapsed="false">
      <c r="A32" s="13" t="s">
        <v>322</v>
      </c>
      <c r="B32" s="20" t="str">
        <f aca="false">IFERROR(INDEX(Справочник_KPI!$D:$D,MATCH($A32,Справочник_KPI!$A:$A,0)),"нет в справочнике")</f>
        <v>Неликвид и медленные (&gt; 90 дн.)</v>
      </c>
      <c r="C32" s="20" t="str">
        <f aca="false">IFERROR(INDEX(Справочник_KPI!$E:$E,MATCH($A32,Справочник_KPI!$A:$A,0)),"")</f>
        <v>%</v>
      </c>
      <c r="D32" s="21" t="n">
        <v>4.5</v>
      </c>
      <c r="E32" s="21" t="n">
        <v>4.41</v>
      </c>
      <c r="F32" s="21" t="n">
        <v>4.32</v>
      </c>
      <c r="G32" s="21" t="n">
        <v>4.23</v>
      </c>
      <c r="H32" s="21" t="n">
        <v>4.14</v>
      </c>
      <c r="I32" s="21" t="n">
        <v>4.05</v>
      </c>
      <c r="J32" s="21" t="n">
        <v>3.95</v>
      </c>
      <c r="K32" s="21" t="n">
        <v>3.86</v>
      </c>
      <c r="L32" s="21" t="n">
        <v>3.77</v>
      </c>
      <c r="M32" s="21" t="n">
        <v>3.68</v>
      </c>
      <c r="N32" s="21" t="n">
        <v>3.59</v>
      </c>
      <c r="O32" s="21" t="n">
        <v>3.5</v>
      </c>
      <c r="P32" s="22" t="n">
        <f aca="false">IF(COUNT(D32:O32)=0,"",IF(IFERROR(INDEX(Справочник_KPI!$G:$G,MATCH($A32,Справочник_KPI!$A:$A,0)),"")="sum",SUM(D32:O32),IF(IFERROR(INDEX(Справочник_KPI!$G:$G,MATCH($A32,Справочник_KPI!$A:$A,0)),"")="last",INDEX(D32:O32,COUNT(D32:O32)),AVERAGE(D32:O32))))</f>
        <v>3.5</v>
      </c>
    </row>
    <row r="33" customFormat="false" ht="15" hidden="false" customHeight="false" outlineLevel="0" collapsed="false">
      <c r="A33" s="13" t="s">
        <v>327</v>
      </c>
      <c r="B33" s="20" t="str">
        <f aca="false">IFERROR(INDEX(Справочник_KPI!$D:$D,MATCH($A33,Справочник_KPI!$A:$A,0)),"нет в справочнике")</f>
        <v>Списания (служебный)</v>
      </c>
      <c r="C33" s="20" t="str">
        <f aca="false">IFERROR(INDEX(Справочник_KPI!$E:$E,MATCH($A33,Справочник_KPI!$A:$A,0)),"")</f>
        <v>млн грн</v>
      </c>
      <c r="D33" s="21" t="n">
        <v>1.56</v>
      </c>
      <c r="E33" s="21" t="n">
        <v>1.53</v>
      </c>
      <c r="F33" s="21" t="n">
        <v>1.75</v>
      </c>
      <c r="G33" s="21" t="n">
        <v>1.73</v>
      </c>
      <c r="H33" s="21" t="n">
        <v>1.79</v>
      </c>
      <c r="I33" s="21" t="n">
        <v>1.81</v>
      </c>
      <c r="J33" s="21" t="n">
        <v>1.86</v>
      </c>
      <c r="K33" s="21" t="n">
        <v>1.88</v>
      </c>
      <c r="L33" s="21" t="n">
        <v>1.81</v>
      </c>
      <c r="M33" s="21" t="n">
        <v>1.88</v>
      </c>
      <c r="N33" s="21" t="n">
        <v>1.86</v>
      </c>
      <c r="O33" s="21" t="n">
        <v>2.14</v>
      </c>
      <c r="P33" s="22" t="n">
        <f aca="false">IF(COUNT(D33:O33)=0,"",IF(IFERROR(INDEX(Справочник_KPI!$G:$G,MATCH($A33,Справочник_KPI!$A:$A,0)),"")="sum",SUM(D33:O33),IF(IFERROR(INDEX(Справочник_KPI!$G:$G,MATCH($A33,Справочник_KPI!$A:$A,0)),"")="last",INDEX(D33:O33,COUNT(D33:O33)),AVERAGE(D33:O33))))</f>
        <v>21.6</v>
      </c>
    </row>
    <row r="34" customFormat="false" ht="15" hidden="false" customHeight="false" outlineLevel="0" collapsed="false">
      <c r="A34" s="13" t="s">
        <v>336</v>
      </c>
      <c r="B34" s="20" t="str">
        <f aca="false">IFERROR(INDEX(Справочник_KPI!$D:$D,MATCH($A34,Справочник_KPI!$A:$A,0)),"нет в справочнике")</f>
        <v>Out-of-stock на складе</v>
      </c>
      <c r="C34" s="20" t="str">
        <f aca="false">IFERROR(INDEX(Справочник_KPI!$E:$E,MATCH($A34,Справочник_KPI!$A:$A,0)),"")</f>
        <v>%</v>
      </c>
      <c r="D34" s="21" t="n">
        <v>2.8</v>
      </c>
      <c r="E34" s="21" t="n">
        <v>2.75</v>
      </c>
      <c r="F34" s="21" t="n">
        <v>2.69</v>
      </c>
      <c r="G34" s="21" t="n">
        <v>2.64</v>
      </c>
      <c r="H34" s="21" t="n">
        <v>2.58</v>
      </c>
      <c r="I34" s="21" t="n">
        <v>2.53</v>
      </c>
      <c r="J34" s="21" t="n">
        <v>2.47</v>
      </c>
      <c r="K34" s="21" t="n">
        <v>2.42</v>
      </c>
      <c r="L34" s="21" t="n">
        <v>2.36</v>
      </c>
      <c r="M34" s="21" t="n">
        <v>2.31</v>
      </c>
      <c r="N34" s="21" t="n">
        <v>2.25</v>
      </c>
      <c r="O34" s="21" t="n">
        <v>2.2</v>
      </c>
      <c r="P34" s="22" t="n">
        <f aca="false">IF(COUNT(D34:O34)=0,"",IF(IFERROR(INDEX(Справочник_KPI!$G:$G,MATCH($A34,Справочник_KPI!$A:$A,0)),"")="sum",SUM(D34:O34),IF(IFERROR(INDEX(Справочник_KPI!$G:$G,MATCH($A34,Справочник_KPI!$A:$A,0)),"")="last",INDEX(D34:O34,COUNT(D34:O34)),AVERAGE(D34:O34))))</f>
        <v>2.5</v>
      </c>
    </row>
    <row r="35" customFormat="false" ht="15" hidden="false" customHeight="false" outlineLevel="0" collapsed="false">
      <c r="A35" s="13" t="s">
        <v>342</v>
      </c>
      <c r="B35" s="20" t="str">
        <f aca="false">IFERROR(INDEX(Справочник_KPI!$D:$D,MATCH($A35,Справочник_KPI!$A:$A,0)),"нет в справочнике")</f>
        <v>Fill rate склада (по строкам)</v>
      </c>
      <c r="C35" s="20" t="str">
        <f aca="false">IFERROR(INDEX(Справочник_KPI!$E:$E,MATCH($A35,Справочник_KPI!$A:$A,0)),"")</f>
        <v>%</v>
      </c>
      <c r="D35" s="21" t="n">
        <v>97.3</v>
      </c>
      <c r="E35" s="21" t="n">
        <v>97.34</v>
      </c>
      <c r="F35" s="21" t="n">
        <v>97.37</v>
      </c>
      <c r="G35" s="21" t="n">
        <v>97.41</v>
      </c>
      <c r="H35" s="21" t="n">
        <v>97.45</v>
      </c>
      <c r="I35" s="21" t="n">
        <v>97.48</v>
      </c>
      <c r="J35" s="21" t="n">
        <v>97.52</v>
      </c>
      <c r="K35" s="21" t="n">
        <v>97.55</v>
      </c>
      <c r="L35" s="21" t="n">
        <v>97.59</v>
      </c>
      <c r="M35" s="21" t="n">
        <v>97.63</v>
      </c>
      <c r="N35" s="21" t="n">
        <v>97.66</v>
      </c>
      <c r="O35" s="21" t="n">
        <v>97.7</v>
      </c>
      <c r="P35" s="22" t="n">
        <f aca="false">IF(COUNT(D35:O35)=0,"",IF(IFERROR(INDEX(Справочник_KPI!$G:$G,MATCH($A35,Справочник_KPI!$A:$A,0)),"")="sum",SUM(D35:O35),IF(IFERROR(INDEX(Справочник_KPI!$G:$G,MATCH($A35,Справочник_KPI!$A:$A,0)),"")="last",INDEX(D35:O35,COUNT(D35:O35)),AVERAGE(D35:O35))))</f>
        <v>97.5</v>
      </c>
    </row>
    <row r="36" customFormat="false" ht="15" hidden="false" customHeight="false" outlineLevel="0" collapsed="false">
      <c r="A36" s="13" t="s">
        <v>347</v>
      </c>
      <c r="B36" s="20" t="str">
        <f aca="false">IFERROR(INDEX(Справочник_KPI!$D:$D,MATCH($A36,Справочник_KPI!$A:$A,0)),"нет в справочнике")</f>
        <v>OTIF поставщиков</v>
      </c>
      <c r="C36" s="20" t="str">
        <f aca="false">IFERROR(INDEX(Справочник_KPI!$E:$E,MATCH($A36,Справочник_KPI!$A:$A,0)),"")</f>
        <v>%</v>
      </c>
      <c r="D36" s="21" t="n">
        <v>91</v>
      </c>
      <c r="E36" s="21" t="n">
        <v>91.18</v>
      </c>
      <c r="F36" s="21" t="n">
        <v>91.36</v>
      </c>
      <c r="G36" s="21" t="n">
        <v>91.55</v>
      </c>
      <c r="H36" s="21" t="n">
        <v>91.73</v>
      </c>
      <c r="I36" s="21" t="n">
        <v>91.91</v>
      </c>
      <c r="J36" s="21" t="n">
        <v>92.09</v>
      </c>
      <c r="K36" s="21" t="n">
        <v>92.27</v>
      </c>
      <c r="L36" s="21" t="n">
        <v>92.45</v>
      </c>
      <c r="M36" s="21" t="n">
        <v>92.64</v>
      </c>
      <c r="N36" s="21" t="n">
        <v>92.82</v>
      </c>
      <c r="O36" s="21" t="n">
        <v>93</v>
      </c>
      <c r="P36" s="22" t="n">
        <f aca="false">IF(COUNT(D36:O36)=0,"",IF(IFERROR(INDEX(Справочник_KPI!$G:$G,MATCH($A36,Справочник_KPI!$A:$A,0)),"")="sum",SUM(D36:O36),IF(IFERROR(INDEX(Справочник_KPI!$G:$G,MATCH($A36,Справочник_KPI!$A:$A,0)),"")="last",INDEX(D36:O36,COUNT(D36:O36)),AVERAGE(D36:O36))))</f>
        <v>92</v>
      </c>
    </row>
    <row r="37" customFormat="false" ht="15" hidden="false" customHeight="false" outlineLevel="0" collapsed="false">
      <c r="A37" s="13" t="s">
        <v>353</v>
      </c>
      <c r="B37" s="20" t="str">
        <f aca="false">IFERROR(INDEX(Справочник_KPI!$D:$D,MATCH($A37,Справочник_KPI!$A:$A,0)),"нет в справочнике")</f>
        <v>Точность прогноза спроса</v>
      </c>
      <c r="C37" s="20" t="str">
        <f aca="false">IFERROR(INDEX(Справочник_KPI!$E:$E,MATCH($A37,Справочник_KPI!$A:$A,0)),"")</f>
        <v>%</v>
      </c>
      <c r="D37" s="21" t="n">
        <v>79</v>
      </c>
      <c r="E37" s="21" t="n">
        <v>79.18</v>
      </c>
      <c r="F37" s="21" t="n">
        <v>79.36</v>
      </c>
      <c r="G37" s="21" t="n">
        <v>79.55</v>
      </c>
      <c r="H37" s="21" t="n">
        <v>79.73</v>
      </c>
      <c r="I37" s="21" t="n">
        <v>79.91</v>
      </c>
      <c r="J37" s="21" t="n">
        <v>80.09</v>
      </c>
      <c r="K37" s="21" t="n">
        <v>80.27</v>
      </c>
      <c r="L37" s="21" t="n">
        <v>80.45</v>
      </c>
      <c r="M37" s="21" t="n">
        <v>80.64</v>
      </c>
      <c r="N37" s="21" t="n">
        <v>80.82</v>
      </c>
      <c r="O37" s="21" t="n">
        <v>81</v>
      </c>
      <c r="P37" s="22" t="n">
        <f aca="false">IF(COUNT(D37:O37)=0,"",IF(IFERROR(INDEX(Справочник_KPI!$G:$G,MATCH($A37,Справочник_KPI!$A:$A,0)),"")="sum",SUM(D37:O37),IF(IFERROR(INDEX(Справочник_KPI!$G:$G,MATCH($A37,Справочник_KPI!$A:$A,0)),"")="last",INDEX(D37:O37,COUNT(D37:O37)),AVERAGE(D37:O37))))</f>
        <v>81</v>
      </c>
    </row>
    <row r="38" customFormat="false" ht="15" hidden="false" customHeight="false" outlineLevel="0" collapsed="false">
      <c r="A38" s="13" t="s">
        <v>358</v>
      </c>
      <c r="B38" s="20" t="str">
        <f aca="false">IFERROR(INDEX(Справочник_KPI!$D:$D,MATCH($A38,Справочник_KPI!$A:$A,0)),"нет в справочнике")</f>
        <v>Бонусы поставщиков (back margin)</v>
      </c>
      <c r="C38" s="20" t="str">
        <f aca="false">IFERROR(INDEX(Справочник_KPI!$E:$E,MATCH($A38,Справочник_KPI!$A:$A,0)),"")</f>
        <v>%</v>
      </c>
      <c r="D38" s="21" t="n">
        <v>4.4</v>
      </c>
      <c r="E38" s="21" t="n">
        <v>4.42</v>
      </c>
      <c r="F38" s="21" t="n">
        <v>4.44</v>
      </c>
      <c r="G38" s="21" t="n">
        <v>4.45</v>
      </c>
      <c r="H38" s="21" t="n">
        <v>4.47</v>
      </c>
      <c r="I38" s="21" t="n">
        <v>4.49</v>
      </c>
      <c r="J38" s="21" t="n">
        <v>4.51</v>
      </c>
      <c r="K38" s="21" t="n">
        <v>4.53</v>
      </c>
      <c r="L38" s="21" t="n">
        <v>4.55</v>
      </c>
      <c r="M38" s="21" t="n">
        <v>4.56</v>
      </c>
      <c r="N38" s="21" t="n">
        <v>4.58</v>
      </c>
      <c r="O38" s="21" t="n">
        <v>4.6</v>
      </c>
      <c r="P38" s="22" t="n">
        <f aca="false">IF(COUNT(D38:O38)=0,"",IF(IFERROR(INDEX(Справочник_KPI!$G:$G,MATCH($A38,Справочник_KPI!$A:$A,0)),"")="sum",SUM(D38:O38),IF(IFERROR(INDEX(Справочник_KPI!$G:$G,MATCH($A38,Справочник_KPI!$A:$A,0)),"")="last",INDEX(D38:O38,COUNT(D38:O38)),AVERAGE(D38:O38))))</f>
        <v>4.6</v>
      </c>
    </row>
    <row r="39" customFormat="false" ht="15" hidden="false" customHeight="false" outlineLevel="0" collapsed="false">
      <c r="A39" s="13" t="s">
        <v>364</v>
      </c>
      <c r="B39" s="20" t="str">
        <f aca="false">IFERROR(INDEX(Справочник_KPI!$D:$D,MATCH($A39,Справочник_KPI!$A:$A,0)),"нет в справочнике")</f>
        <v>Экономия на закупках</v>
      </c>
      <c r="C39" s="20" t="str">
        <f aca="false">IFERROR(INDEX(Справочник_KPI!$E:$E,MATCH($A39,Справочник_KPI!$A:$A,0)),"")</f>
        <v>млн грн</v>
      </c>
      <c r="D39" s="21" t="n">
        <v>3.02</v>
      </c>
      <c r="E39" s="21" t="n">
        <v>2.98</v>
      </c>
      <c r="F39" s="21" t="n">
        <v>3.4</v>
      </c>
      <c r="G39" s="21" t="n">
        <v>3.36</v>
      </c>
      <c r="H39" s="21" t="n">
        <v>3.49</v>
      </c>
      <c r="I39" s="21" t="n">
        <v>3.53</v>
      </c>
      <c r="J39" s="21" t="n">
        <v>3.61</v>
      </c>
      <c r="K39" s="21" t="n">
        <v>3.65</v>
      </c>
      <c r="L39" s="21" t="n">
        <v>3.53</v>
      </c>
      <c r="M39" s="21" t="n">
        <v>3.65</v>
      </c>
      <c r="N39" s="21" t="n">
        <v>3.61</v>
      </c>
      <c r="O39" s="21" t="n">
        <v>4.16</v>
      </c>
      <c r="P39" s="22" t="n">
        <f aca="false">IF(COUNT(D39:O39)=0,"",IF(IFERROR(INDEX(Справочник_KPI!$G:$G,MATCH($A39,Справочник_KPI!$A:$A,0)),"")="sum",SUM(D39:O39),IF(IFERROR(INDEX(Справочник_KPI!$G:$G,MATCH($A39,Справочник_KPI!$A:$A,0)),"")="last",INDEX(D39:O39,COUNT(D39:O39)),AVERAGE(D39:O39))))</f>
        <v>41.99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15" min="4" style="0" width="1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1" t="s">
        <v>56</v>
      </c>
      <c r="B1" s="11" t="s">
        <v>59</v>
      </c>
      <c r="C1" s="11" t="s">
        <v>60</v>
      </c>
      <c r="D1" s="11" t="s">
        <v>373</v>
      </c>
      <c r="E1" s="11" t="s">
        <v>374</v>
      </c>
      <c r="F1" s="11" t="s">
        <v>375</v>
      </c>
      <c r="G1" s="11" t="s">
        <v>376</v>
      </c>
      <c r="H1" s="11" t="s">
        <v>377</v>
      </c>
      <c r="I1" s="11" t="s">
        <v>378</v>
      </c>
      <c r="J1" s="11" t="s">
        <v>379</v>
      </c>
      <c r="K1" s="11" t="s">
        <v>380</v>
      </c>
      <c r="L1" s="11" t="s">
        <v>381</v>
      </c>
      <c r="M1" s="11" t="s">
        <v>382</v>
      </c>
      <c r="N1" s="11" t="s">
        <v>383</v>
      </c>
      <c r="O1" s="11" t="s">
        <v>384</v>
      </c>
      <c r="P1" s="11" t="s">
        <v>42</v>
      </c>
    </row>
    <row r="2" customFormat="false" ht="15" hidden="false" customHeight="false" outlineLevel="0" collapsed="false">
      <c r="A2" s="13" t="s">
        <v>70</v>
      </c>
      <c r="B2" s="20" t="str">
        <f aca="false">IFERROR(INDEX(Справочник_KPI!$D:$D,MATCH($A2,Справочник_KPI!$A:$A,0)),"нет в справочнике")</f>
        <v>Выручка (net sales)</v>
      </c>
      <c r="C2" s="20" t="str">
        <f aca="false">IFERROR(INDEX(Справочник_KPI!$E:$E,MATCH($A2,Справочник_KPI!$A:$A,0)),"")</f>
        <v>млн грн</v>
      </c>
      <c r="D2" s="21" t="n">
        <v>523.16</v>
      </c>
      <c r="E2" s="21" t="n">
        <v>500.68</v>
      </c>
      <c r="F2" s="21" t="n">
        <v>596.86</v>
      </c>
      <c r="G2" s="21" t="n">
        <v>568.6</v>
      </c>
      <c r="H2" s="21" t="n">
        <v>602.72</v>
      </c>
      <c r="I2" s="21" t="n">
        <v>590.8</v>
      </c>
      <c r="J2" s="21" t="n">
        <v>617.3</v>
      </c>
      <c r="K2" s="21" t="n">
        <v>620.84</v>
      </c>
      <c r="L2" s="21" t="n">
        <v>590.04</v>
      </c>
      <c r="M2" s="21"/>
      <c r="N2" s="21"/>
      <c r="O2" s="21"/>
      <c r="P2" s="22" t="n">
        <f aca="false">IF(COUNT(D2:O2)=0,"",IF(IFERROR(INDEX(Справочник_KPI!$G:$G,MATCH($A2,Справочник_KPI!$A:$A,0)),"")="sum",SUM(D2:O2),IF(IFERROR(INDEX(Справочник_KPI!$G:$G,MATCH($A2,Справочник_KPI!$A:$A,0)),"")="last",INDEX(D2:O2,COUNT(D2:O2)),AVERAGE(D2:O2))))</f>
        <v>5211</v>
      </c>
    </row>
    <row r="3" customFormat="false" ht="15" hidden="false" customHeight="false" outlineLevel="0" collapsed="false">
      <c r="A3" s="13" t="s">
        <v>82</v>
      </c>
      <c r="B3" s="20" t="str">
        <f aca="false">IFERROR(INDEX(Справочник_KPI!$D:$D,MATCH($A3,Справочник_KPI!$A:$A,0)),"нет в справочнике")</f>
        <v>Валовая прибыль</v>
      </c>
      <c r="C3" s="20" t="str">
        <f aca="false">IFERROR(INDEX(Справочник_KPI!$E:$E,MATCH($A3,Справочник_KPI!$A:$A,0)),"")</f>
        <v>млн грн</v>
      </c>
      <c r="D3" s="21" t="n">
        <v>101.17</v>
      </c>
      <c r="E3" s="21" t="n">
        <v>98.36</v>
      </c>
      <c r="F3" s="21" t="n">
        <v>115.27</v>
      </c>
      <c r="G3" s="21" t="n">
        <v>110.56</v>
      </c>
      <c r="H3" s="21" t="n">
        <v>116.28</v>
      </c>
      <c r="I3" s="21" t="n">
        <v>114.63</v>
      </c>
      <c r="J3" s="21" t="n">
        <v>121.35</v>
      </c>
      <c r="K3" s="21" t="n">
        <v>119.94</v>
      </c>
      <c r="L3" s="21" t="n">
        <v>115.62</v>
      </c>
      <c r="M3" s="21"/>
      <c r="N3" s="21"/>
      <c r="O3" s="21"/>
      <c r="P3" s="22" t="n">
        <f aca="false">IF(COUNT(D3:O3)=0,"",IF(IFERROR(INDEX(Справочник_KPI!$G:$G,MATCH($A3,Справочник_KPI!$A:$A,0)),"")="sum",SUM(D3:O3),IF(IFERROR(INDEX(Справочник_KPI!$G:$G,MATCH($A3,Справочник_KPI!$A:$A,0)),"")="last",INDEX(D3:O3,COUNT(D3:O3)),AVERAGE(D3:O3))))</f>
        <v>1013.18</v>
      </c>
    </row>
    <row r="4" customFormat="false" ht="15" hidden="false" customHeight="false" outlineLevel="0" collapsed="false">
      <c r="A4" s="13" t="s">
        <v>98</v>
      </c>
      <c r="B4" s="20" t="str">
        <f aca="false">IFERROR(INDEX(Справочник_KPI!$D:$D,MATCH($A4,Справочник_KPI!$A:$A,0)),"нет в справочнике")</f>
        <v>Операционные расходы (OPEX)</v>
      </c>
      <c r="C4" s="20" t="str">
        <f aca="false">IFERROR(INDEX(Справочник_KPI!$E:$E,MATCH($A4,Справочник_KPI!$A:$A,0)),"")</f>
        <v>млн грн</v>
      </c>
      <c r="D4" s="21" t="n">
        <v>77.55</v>
      </c>
      <c r="E4" s="21" t="n">
        <v>74.36</v>
      </c>
      <c r="F4" s="21" t="n">
        <v>87.26</v>
      </c>
      <c r="G4" s="21" t="n">
        <v>84.37</v>
      </c>
      <c r="H4" s="21" t="n">
        <v>88.68</v>
      </c>
      <c r="I4" s="21" t="n">
        <v>87.7</v>
      </c>
      <c r="J4" s="21" t="n">
        <v>91.82</v>
      </c>
      <c r="K4" s="21" t="n">
        <v>91.07</v>
      </c>
      <c r="L4" s="21" t="n">
        <v>88.2</v>
      </c>
      <c r="M4" s="21"/>
      <c r="N4" s="21"/>
      <c r="O4" s="21"/>
      <c r="P4" s="22" t="n">
        <f aca="false">IF(COUNT(D4:O4)=0,"",IF(IFERROR(INDEX(Справочник_KPI!$G:$G,MATCH($A4,Справочник_KPI!$A:$A,0)),"")="sum",SUM(D4:O4),IF(IFERROR(INDEX(Справочник_KPI!$G:$G,MATCH($A4,Справочник_KPI!$A:$A,0)),"")="last",INDEX(D4:O4,COUNT(D4:O4)),AVERAGE(D4:O4))))</f>
        <v>771.01</v>
      </c>
    </row>
    <row r="5" customFormat="false" ht="15" hidden="false" customHeight="false" outlineLevel="0" collapsed="false">
      <c r="A5" s="13" t="s">
        <v>123</v>
      </c>
      <c r="B5" s="20" t="str">
        <f aca="false">IFERROR(INDEX(Справочник_KPI!$D:$D,MATCH($A5,Справочник_KPI!$A:$A,0)),"нет в справочнике")</f>
        <v>Логистика и склад (служебный)</v>
      </c>
      <c r="C5" s="20" t="str">
        <f aca="false">IFERROR(INDEX(Справочник_KPI!$E:$E,MATCH($A5,Справочник_KPI!$A:$A,0)),"")</f>
        <v>млн грн</v>
      </c>
      <c r="D5" s="21" t="n">
        <v>22.47</v>
      </c>
      <c r="E5" s="21" t="n">
        <v>21.57</v>
      </c>
      <c r="F5" s="21" t="n">
        <v>25.45</v>
      </c>
      <c r="G5" s="21" t="n">
        <v>24.63</v>
      </c>
      <c r="H5" s="21" t="n">
        <v>25.95</v>
      </c>
      <c r="I5" s="21" t="n">
        <v>25.33</v>
      </c>
      <c r="J5" s="21" t="n">
        <v>26.66</v>
      </c>
      <c r="K5" s="21" t="n">
        <v>26.37</v>
      </c>
      <c r="L5" s="21" t="n">
        <v>25.53</v>
      </c>
      <c r="M5" s="21"/>
      <c r="N5" s="21"/>
      <c r="O5" s="21"/>
      <c r="P5" s="22" t="n">
        <f aca="false">IF(COUNT(D5:O5)=0,"",IF(IFERROR(INDEX(Справочник_KPI!$G:$G,MATCH($A5,Справочник_KPI!$A:$A,0)),"")="sum",SUM(D5:O5),IF(IFERROR(INDEX(Справочник_KPI!$G:$G,MATCH($A5,Справочник_KPI!$A:$A,0)),"")="last",INDEX(D5:O5,COUNT(D5:O5)),AVERAGE(D5:O5))))</f>
        <v>223.96</v>
      </c>
    </row>
    <row r="6" customFormat="false" ht="15" hidden="false" customHeight="false" outlineLevel="0" collapsed="false">
      <c r="A6" s="13" t="s">
        <v>133</v>
      </c>
      <c r="B6" s="20" t="str">
        <f aca="false">IFERROR(INDEX(Справочник_KPI!$D:$D,MATCH($A6,Справочник_KPI!$A:$A,0)),"нет в справочнике")</f>
        <v>Операционный денежный поток</v>
      </c>
      <c r="C6" s="20" t="str">
        <f aca="false">IFERROR(INDEX(Справочник_KPI!$E:$E,MATCH($A6,Справочник_KPI!$A:$A,0)),"")</f>
        <v>млн грн</v>
      </c>
      <c r="D6" s="21" t="n">
        <v>21.22</v>
      </c>
      <c r="E6" s="21" t="n">
        <v>22.98</v>
      </c>
      <c r="F6" s="21" t="n">
        <v>19.03</v>
      </c>
      <c r="G6" s="21" t="n">
        <v>21.36</v>
      </c>
      <c r="H6" s="21" t="n">
        <v>20.48</v>
      </c>
      <c r="I6" s="21" t="n">
        <v>20.83</v>
      </c>
      <c r="J6" s="21" t="n">
        <v>24.26</v>
      </c>
      <c r="K6" s="21" t="n">
        <v>20.59</v>
      </c>
      <c r="L6" s="21" t="n">
        <v>21.17</v>
      </c>
      <c r="M6" s="21"/>
      <c r="N6" s="21"/>
      <c r="O6" s="21"/>
      <c r="P6" s="22" t="n">
        <f aca="false">IF(COUNT(D6:O6)=0,"",IF(IFERROR(INDEX(Справочник_KPI!$G:$G,MATCH($A6,Справочник_KPI!$A:$A,0)),"")="sum",SUM(D6:O6),IF(IFERROR(INDEX(Справочник_KPI!$G:$G,MATCH($A6,Справочник_KPI!$A:$A,0)),"")="last",INDEX(D6:O6,COUNT(D6:O6)),AVERAGE(D6:O6))))</f>
        <v>191.92</v>
      </c>
    </row>
    <row r="7" customFormat="false" ht="15" hidden="false" customHeight="false" outlineLevel="0" collapsed="false">
      <c r="A7" s="13" t="s">
        <v>139</v>
      </c>
      <c r="B7" s="20" t="str">
        <f aca="false">IFERROR(INDEX(Справочник_KPI!$D:$D,MATCH($A7,Справочник_KPI!$A:$A,0)),"нет в справочнике")</f>
        <v>Остаток денежных средств</v>
      </c>
      <c r="C7" s="20" t="str">
        <f aca="false">IFERROR(INDEX(Справочник_KPI!$E:$E,MATCH($A7,Справочник_KPI!$A:$A,0)),"")</f>
        <v>млн грн</v>
      </c>
      <c r="D7" s="21" t="n">
        <v>162.85</v>
      </c>
      <c r="E7" s="21" t="n">
        <v>173.69</v>
      </c>
      <c r="F7" s="21" t="n">
        <v>173.23</v>
      </c>
      <c r="G7" s="21" t="n">
        <v>179.49</v>
      </c>
      <c r="H7" s="21" t="n">
        <v>183.96</v>
      </c>
      <c r="I7" s="21" t="n">
        <v>176.46</v>
      </c>
      <c r="J7" s="21" t="n">
        <v>184.69</v>
      </c>
      <c r="K7" s="21" t="n">
        <v>194.25</v>
      </c>
      <c r="L7" s="21" t="n">
        <v>196.02</v>
      </c>
      <c r="M7" s="21"/>
      <c r="N7" s="21"/>
      <c r="O7" s="21"/>
      <c r="P7" s="22" t="n">
        <f aca="false">IF(COUNT(D7:O7)=0,"",IF(IFERROR(INDEX(Справочник_KPI!$G:$G,MATCH($A7,Справочник_KPI!$A:$A,0)),"")="sum",SUM(D7:O7),IF(IFERROR(INDEX(Справочник_KPI!$G:$G,MATCH($A7,Справочник_KPI!$A:$A,0)),"")="last",INDEX(D7:O7,COUNT(D7:O7)),AVERAGE(D7:O7))))</f>
        <v>196.02</v>
      </c>
    </row>
    <row r="8" customFormat="false" ht="15" hidden="false" customHeight="false" outlineLevel="0" collapsed="false">
      <c r="A8" s="13" t="s">
        <v>146</v>
      </c>
      <c r="B8" s="20" t="str">
        <f aca="false">IFERROR(INDEX(Справочник_KPI!$D:$D,MATCH($A8,Справочник_KPI!$A:$A,0)),"нет в справочнике")</f>
        <v>Оборачиваемость ДЗ (DSO)</v>
      </c>
      <c r="C8" s="20" t="str">
        <f aca="false">IFERROR(INDEX(Справочник_KPI!$E:$E,MATCH($A8,Справочник_KPI!$A:$A,0)),"")</f>
        <v>дни</v>
      </c>
      <c r="D8" s="21" t="n">
        <v>29.34</v>
      </c>
      <c r="E8" s="21" t="n">
        <v>30.3</v>
      </c>
      <c r="F8" s="21" t="n">
        <v>30.47</v>
      </c>
      <c r="G8" s="21" t="n">
        <v>29.64</v>
      </c>
      <c r="H8" s="21" t="n">
        <v>30.59</v>
      </c>
      <c r="I8" s="21" t="n">
        <v>30</v>
      </c>
      <c r="J8" s="21" t="n">
        <v>30.17</v>
      </c>
      <c r="K8" s="21" t="n">
        <v>30.85</v>
      </c>
      <c r="L8" s="21" t="n">
        <v>30.73</v>
      </c>
      <c r="M8" s="21"/>
      <c r="N8" s="21"/>
      <c r="O8" s="21"/>
      <c r="P8" s="22" t="n">
        <f aca="false">IF(COUNT(D8:O8)=0,"",IF(IFERROR(INDEX(Справочник_KPI!$G:$G,MATCH($A8,Справочник_KPI!$A:$A,0)),"")="sum",SUM(D8:O8),IF(IFERROR(INDEX(Справочник_KPI!$G:$G,MATCH($A8,Справочник_KPI!$A:$A,0)),"")="last",INDEX(D8:O8,COUNT(D8:O8)),AVERAGE(D8:O8))))</f>
        <v>30.73</v>
      </c>
    </row>
    <row r="9" customFormat="false" ht="15" hidden="false" customHeight="false" outlineLevel="0" collapsed="false">
      <c r="A9" s="13" t="s">
        <v>153</v>
      </c>
      <c r="B9" s="20" t="str">
        <f aca="false">IFERROR(INDEX(Справочник_KPI!$D:$D,MATCH($A9,Справочник_KPI!$A:$A,0)),"нет в справочнике")</f>
        <v>Просроченная ДЗ, % от ДЗ</v>
      </c>
      <c r="C9" s="20" t="str">
        <f aca="false">IFERROR(INDEX(Справочник_KPI!$E:$E,MATCH($A9,Справочник_KPI!$A:$A,0)),"")</f>
        <v>%</v>
      </c>
      <c r="D9" s="21" t="n">
        <v>6.77</v>
      </c>
      <c r="E9" s="21" t="n">
        <v>6.79</v>
      </c>
      <c r="F9" s="21" t="n">
        <v>6.59</v>
      </c>
      <c r="G9" s="21" t="n">
        <v>7.22</v>
      </c>
      <c r="H9" s="21" t="n">
        <v>7.18</v>
      </c>
      <c r="I9" s="21" t="n">
        <v>7.37</v>
      </c>
      <c r="J9" s="21" t="n">
        <v>6.93</v>
      </c>
      <c r="K9" s="21" t="n">
        <v>7.1</v>
      </c>
      <c r="L9" s="21" t="n">
        <v>7.05</v>
      </c>
      <c r="M9" s="21"/>
      <c r="N9" s="21"/>
      <c r="O9" s="21"/>
      <c r="P9" s="22" t="n">
        <f aca="false">IF(COUNT(D9:O9)=0,"",IF(IFERROR(INDEX(Справочник_KPI!$G:$G,MATCH($A9,Справочник_KPI!$A:$A,0)),"")="sum",SUM(D9:O9),IF(IFERROR(INDEX(Справочник_KPI!$G:$G,MATCH($A9,Справочник_KPI!$A:$A,0)),"")="last",INDEX(D9:O9,COUNT(D9:O9)),AVERAGE(D9:O9))))</f>
        <v>7.05</v>
      </c>
    </row>
    <row r="10" customFormat="false" ht="15" hidden="false" customHeight="false" outlineLevel="0" collapsed="false">
      <c r="A10" s="13" t="s">
        <v>159</v>
      </c>
      <c r="B10" s="20" t="str">
        <f aca="false">IFERROR(INDEX(Справочник_KPI!$D:$D,MATCH($A10,Справочник_KPI!$A:$A,0)),"нет в справочнике")</f>
        <v>Запас в днях (DIO)</v>
      </c>
      <c r="C10" s="20" t="str">
        <f aca="false">IFERROR(INDEX(Справочник_KPI!$E:$E,MATCH($A10,Справочник_KPI!$A:$A,0)),"")</f>
        <v>дни</v>
      </c>
      <c r="D10" s="21" t="n">
        <v>33.57</v>
      </c>
      <c r="E10" s="21" t="n">
        <v>34.17</v>
      </c>
      <c r="F10" s="21" t="n">
        <v>33.89</v>
      </c>
      <c r="G10" s="21" t="n">
        <v>33.51</v>
      </c>
      <c r="H10" s="21" t="n">
        <v>34.36</v>
      </c>
      <c r="I10" s="21" t="n">
        <v>34.03</v>
      </c>
      <c r="J10" s="21" t="n">
        <v>34.17</v>
      </c>
      <c r="K10" s="21" t="n">
        <v>33.43</v>
      </c>
      <c r="L10" s="21" t="n">
        <v>34.18</v>
      </c>
      <c r="M10" s="21"/>
      <c r="N10" s="21"/>
      <c r="O10" s="21"/>
      <c r="P10" s="22" t="n">
        <f aca="false">IF(COUNT(D10:O10)=0,"",IF(IFERROR(INDEX(Справочник_KPI!$G:$G,MATCH($A10,Справочник_KPI!$A:$A,0)),"")="sum",SUM(D10:O10),IF(IFERROR(INDEX(Справочник_KPI!$G:$G,MATCH($A10,Справочник_KPI!$A:$A,0)),"")="last",INDEX(D10:O10,COUNT(D10:O10)),AVERAGE(D10:O10))))</f>
        <v>34.18</v>
      </c>
    </row>
    <row r="11" customFormat="false" ht="15" hidden="false" customHeight="false" outlineLevel="0" collapsed="false">
      <c r="A11" s="13" t="s">
        <v>167</v>
      </c>
      <c r="B11" s="20" t="str">
        <f aca="false">IFERROR(INDEX(Справочник_KPI!$D:$D,MATCH($A11,Справочник_KPI!$A:$A,0)),"нет в справочнике")</f>
        <v>Отсрочка поставщикам (DPO)</v>
      </c>
      <c r="C11" s="20" t="str">
        <f aca="false">IFERROR(INDEX(Справочник_KPI!$E:$E,MATCH($A11,Справочник_KPI!$A:$A,0)),"")</f>
        <v>дни</v>
      </c>
      <c r="D11" s="21" t="n">
        <v>43.54</v>
      </c>
      <c r="E11" s="21" t="n">
        <v>43.95</v>
      </c>
      <c r="F11" s="21" t="n">
        <v>44.32</v>
      </c>
      <c r="G11" s="21" t="n">
        <v>44.57</v>
      </c>
      <c r="H11" s="21" t="n">
        <v>45.28</v>
      </c>
      <c r="I11" s="21" t="n">
        <v>45.06</v>
      </c>
      <c r="J11" s="21" t="n">
        <v>45.53</v>
      </c>
      <c r="K11" s="21" t="n">
        <v>45.46</v>
      </c>
      <c r="L11" s="21" t="n">
        <v>45.89</v>
      </c>
      <c r="M11" s="21"/>
      <c r="N11" s="21"/>
      <c r="O11" s="21"/>
      <c r="P11" s="22" t="n">
        <f aca="false">IF(COUNT(D11:O11)=0,"",IF(IFERROR(INDEX(Справочник_KPI!$G:$G,MATCH($A11,Справочник_KPI!$A:$A,0)),"")="sum",SUM(D11:O11),IF(IFERROR(INDEX(Справочник_KPI!$G:$G,MATCH($A11,Справочник_KPI!$A:$A,0)),"")="last",INDEX(D11:O11,COUNT(D11:O11)),AVERAGE(D11:O11))))</f>
        <v>45.89</v>
      </c>
    </row>
    <row r="12" customFormat="false" ht="15" hidden="false" customHeight="false" outlineLevel="0" collapsed="false">
      <c r="A12" s="13" t="s">
        <v>177</v>
      </c>
      <c r="B12" s="20" t="str">
        <f aca="false">IFERROR(INDEX(Справочник_KPI!$D:$D,MATCH($A12,Справочник_KPI!$A:$A,0)),"нет в справочнике")</f>
        <v>Чистый долг / EBITDA</v>
      </c>
      <c r="C12" s="20" t="str">
        <f aca="false">IFERROR(INDEX(Справочник_KPI!$E:$E,MATCH($A12,Справочник_KPI!$A:$A,0)),"")</f>
        <v>x</v>
      </c>
      <c r="D12" s="21" t="n">
        <v>1.54</v>
      </c>
      <c r="E12" s="21" t="n">
        <v>1.54</v>
      </c>
      <c r="F12" s="21" t="n">
        <v>1.58</v>
      </c>
      <c r="G12" s="21" t="n">
        <v>1.62</v>
      </c>
      <c r="H12" s="21" t="n">
        <v>1.67</v>
      </c>
      <c r="I12" s="21" t="n">
        <v>1.67</v>
      </c>
      <c r="J12" s="21" t="n">
        <v>1.73</v>
      </c>
      <c r="K12" s="21" t="n">
        <v>1.75</v>
      </c>
      <c r="L12" s="21" t="n">
        <v>1.78</v>
      </c>
      <c r="M12" s="21"/>
      <c r="N12" s="21"/>
      <c r="O12" s="21"/>
      <c r="P12" s="22" t="n">
        <f aca="false">IF(COUNT(D12:O12)=0,"",IF(IFERROR(INDEX(Справочник_KPI!$G:$G,MATCH($A12,Справочник_KPI!$A:$A,0)),"")="sum",SUM(D12:O12),IF(IFERROR(INDEX(Справочник_KPI!$G:$G,MATCH($A12,Справочник_KPI!$A:$A,0)),"")="last",INDEX(D12:O12,COUNT(D12:O12)),AVERAGE(D12:O12))))</f>
        <v>1.78</v>
      </c>
    </row>
    <row r="13" customFormat="false" ht="15" hidden="false" customHeight="false" outlineLevel="0" collapsed="false">
      <c r="A13" s="13" t="s">
        <v>185</v>
      </c>
      <c r="B13" s="20" t="str">
        <f aca="false">IFERROR(INDEX(Справочник_KPI!$D:$D,MATCH($A13,Справочник_KPI!$A:$A,0)),"нет в справочнике")</f>
        <v>Средняя ставка по кредитам</v>
      </c>
      <c r="C13" s="20" t="str">
        <f aca="false">IFERROR(INDEX(Справочник_KPI!$E:$E,MATCH($A13,Справочник_KPI!$A:$A,0)),"")</f>
        <v>%</v>
      </c>
      <c r="D13" s="21" t="n">
        <v>16.62</v>
      </c>
      <c r="E13" s="21" t="n">
        <v>16.47</v>
      </c>
      <c r="F13" s="21" t="n">
        <v>16.34</v>
      </c>
      <c r="G13" s="21" t="n">
        <v>16.23</v>
      </c>
      <c r="H13" s="21" t="n">
        <v>16.03</v>
      </c>
      <c r="I13" s="21" t="n">
        <v>15.95</v>
      </c>
      <c r="J13" s="21" t="n">
        <v>15.77</v>
      </c>
      <c r="K13" s="21" t="n">
        <v>15.77</v>
      </c>
      <c r="L13" s="21" t="n">
        <v>15.63</v>
      </c>
      <c r="M13" s="21"/>
      <c r="N13" s="21"/>
      <c r="O13" s="21"/>
      <c r="P13" s="22" t="n">
        <f aca="false">IF(COUNT(D13:O13)=0,"",IF(IFERROR(INDEX(Справочник_KPI!$G:$G,MATCH($A13,Справочник_KPI!$A:$A,0)),"")="sum",SUM(D13:O13),IF(IFERROR(INDEX(Справочник_KPI!$G:$G,MATCH($A13,Справочник_KPI!$A:$A,0)),"")="last",INDEX(D13:O13,COUNT(D13:O13)),AVERAGE(D13:O13))))</f>
        <v>15.63</v>
      </c>
    </row>
    <row r="14" customFormat="false" ht="15" hidden="false" customHeight="false" outlineLevel="0" collapsed="false">
      <c r="A14" s="13" t="s">
        <v>190</v>
      </c>
      <c r="B14" s="20" t="str">
        <f aca="false">IFERROR(INDEX(Справочник_KPI!$D:$D,MATCH($A14,Справочник_KPI!$A:$A,0)),"нет в справочнике")</f>
        <v>ROIC (годовой)</v>
      </c>
      <c r="C14" s="20" t="str">
        <f aca="false">IFERROR(INDEX(Справочник_KPI!$E:$E,MATCH($A14,Справочник_KPI!$A:$A,0)),"")</f>
        <v>%</v>
      </c>
      <c r="D14" s="21" t="n">
        <v>20.79</v>
      </c>
      <c r="E14" s="21" t="n">
        <v>20.54</v>
      </c>
      <c r="F14" s="21" t="n">
        <v>20.57</v>
      </c>
      <c r="G14" s="21" t="n">
        <v>20.21</v>
      </c>
      <c r="H14" s="21" t="n">
        <v>20.05</v>
      </c>
      <c r="I14" s="21" t="n">
        <v>20.07</v>
      </c>
      <c r="J14" s="21" t="n">
        <v>19.88</v>
      </c>
      <c r="K14" s="21" t="n">
        <v>19.95</v>
      </c>
      <c r="L14" s="21" t="n">
        <v>19.77</v>
      </c>
      <c r="M14" s="21"/>
      <c r="N14" s="21"/>
      <c r="O14" s="21"/>
      <c r="P14" s="22" t="n">
        <f aca="false">IF(COUNT(D14:O14)=0,"",IF(IFERROR(INDEX(Справочник_KPI!$G:$G,MATCH($A14,Справочник_KPI!$A:$A,0)),"")="sum",SUM(D14:O14),IF(IFERROR(INDEX(Справочник_KPI!$G:$G,MATCH($A14,Справочник_KPI!$A:$A,0)),"")="last",INDEX(D14:O14,COUNT(D14:O14)),AVERAGE(D14:O14))))</f>
        <v>19.77</v>
      </c>
    </row>
    <row r="15" customFormat="false" ht="15" hidden="false" customHeight="false" outlineLevel="0" collapsed="false">
      <c r="A15" s="13" t="s">
        <v>196</v>
      </c>
      <c r="B15" s="20" t="str">
        <f aca="false">IFERROR(INDEX(Справочник_KPI!$D:$D,MATCH($A15,Справочник_KPI!$A:$A,0)),"нет в справочнике")</f>
        <v>Доля рынка в ключевых категориях</v>
      </c>
      <c r="C15" s="20" t="str">
        <f aca="false">IFERROR(INDEX(Справочник_KPI!$E:$E,MATCH($A15,Справочник_KPI!$A:$A,0)),"")</f>
        <v>%</v>
      </c>
      <c r="D15" s="21" t="n">
        <v>13.57</v>
      </c>
      <c r="E15" s="21" t="n">
        <v>13.62</v>
      </c>
      <c r="F15" s="21" t="n">
        <v>13.74</v>
      </c>
      <c r="G15" s="21" t="n">
        <v>13.86</v>
      </c>
      <c r="H15" s="21" t="n">
        <v>13.82</v>
      </c>
      <c r="I15" s="21" t="n">
        <v>14</v>
      </c>
      <c r="J15" s="21" t="n">
        <v>14.1</v>
      </c>
      <c r="K15" s="21" t="n">
        <v>14.26</v>
      </c>
      <c r="L15" s="21" t="n">
        <v>14.36</v>
      </c>
      <c r="M15" s="21"/>
      <c r="N15" s="21"/>
      <c r="O15" s="21"/>
      <c r="P15" s="22" t="n">
        <f aca="false">IF(COUNT(D15:O15)=0,"",IF(IFERROR(INDEX(Справочник_KPI!$G:$G,MATCH($A15,Справочник_KPI!$A:$A,0)),"")="sum",SUM(D15:O15),IF(IFERROR(INDEX(Справочник_KPI!$G:$G,MATCH($A15,Справочник_KPI!$A:$A,0)),"")="last",INDEX(D15:O15,COUNT(D15:O15)),AVERAGE(D15:O15))))</f>
        <v>14.36</v>
      </c>
    </row>
    <row r="16" customFormat="false" ht="15" hidden="false" customHeight="false" outlineLevel="0" collapsed="false">
      <c r="A16" s="13" t="s">
        <v>203</v>
      </c>
      <c r="B16" s="20" t="str">
        <f aca="false">IFERROR(INDEX(Справочник_KPI!$D:$D,MATCH($A16,Справочник_KPI!$A:$A,0)),"нет в справочнике")</f>
        <v>АКБ (активные ТТ, 30 дней)</v>
      </c>
      <c r="C16" s="20" t="str">
        <f aca="false">IFERROR(INDEX(Справочник_KPI!$E:$E,MATCH($A16,Справочник_KPI!$A:$A,0)),"")</f>
        <v>ТТ</v>
      </c>
      <c r="D16" s="23" t="n">
        <v>17696</v>
      </c>
      <c r="E16" s="23" t="n">
        <v>17816</v>
      </c>
      <c r="F16" s="23" t="n">
        <v>17949</v>
      </c>
      <c r="G16" s="23" t="n">
        <v>18024</v>
      </c>
      <c r="H16" s="23" t="n">
        <v>18028</v>
      </c>
      <c r="I16" s="23" t="n">
        <v>18339</v>
      </c>
      <c r="J16" s="23" t="n">
        <v>18448</v>
      </c>
      <c r="K16" s="23" t="n">
        <v>18510</v>
      </c>
      <c r="L16" s="23" t="n">
        <v>18638</v>
      </c>
      <c r="M16" s="23"/>
      <c r="N16" s="23"/>
      <c r="O16" s="23"/>
      <c r="P16" s="22" t="n">
        <f aca="false">IF(COUNT(D16:O16)=0,"",IF(IFERROR(INDEX(Справочник_KPI!$G:$G,MATCH($A16,Справочник_KPI!$A:$A,0)),"")="sum",SUM(D16:O16),IF(IFERROR(INDEX(Справочник_KPI!$G:$G,MATCH($A16,Справочник_KPI!$A:$A,0)),"")="last",INDEX(D16:O16,COUNT(D16:O16)),AVERAGE(D16:O16))))</f>
        <v>18638</v>
      </c>
    </row>
    <row r="17" customFormat="false" ht="15" hidden="false" customHeight="false" outlineLevel="0" collapsed="false">
      <c r="A17" s="13" t="s">
        <v>211</v>
      </c>
      <c r="B17" s="20" t="str">
        <f aca="false">IFERROR(INDEX(Справочник_KPI!$D:$D,MATCH($A17,Справочник_KPI!$A:$A,0)),"нет в справочнике")</f>
        <v>Численность персонала</v>
      </c>
      <c r="C17" s="20" t="str">
        <f aca="false">IFERROR(INDEX(Справочник_KPI!$E:$E,MATCH($A17,Справочник_KPI!$A:$A,0)),"")</f>
        <v>чел</v>
      </c>
      <c r="D17" s="23" t="n">
        <v>976</v>
      </c>
      <c r="E17" s="23" t="n">
        <v>980</v>
      </c>
      <c r="F17" s="23" t="n">
        <v>982</v>
      </c>
      <c r="G17" s="23" t="n">
        <v>984</v>
      </c>
      <c r="H17" s="23" t="n">
        <v>986</v>
      </c>
      <c r="I17" s="23" t="n">
        <v>985</v>
      </c>
      <c r="J17" s="23" t="n">
        <v>987</v>
      </c>
      <c r="K17" s="23" t="n">
        <v>990</v>
      </c>
      <c r="L17" s="23" t="n">
        <v>995</v>
      </c>
      <c r="M17" s="23"/>
      <c r="N17" s="23"/>
      <c r="O17" s="23"/>
      <c r="P17" s="22" t="n">
        <f aca="false">IF(COUNT(D17:O17)=0,"",IF(IFERROR(INDEX(Справочник_KPI!$G:$G,MATCH($A17,Справочник_KPI!$A:$A,0)),"")="sum",SUM(D17:O17),IF(IFERROR(INDEX(Справочник_KPI!$G:$G,MATCH($A17,Справочник_KPI!$A:$A,0)),"")="last",INDEX(D17:O17,COUNT(D17:O17)),AVERAGE(D17:O17))))</f>
        <v>995</v>
      </c>
    </row>
    <row r="18" customFormat="false" ht="15" hidden="false" customHeight="false" outlineLevel="0" collapsed="false">
      <c r="A18" s="13" t="s">
        <v>219</v>
      </c>
      <c r="B18" s="20" t="str">
        <f aca="false">IFERROR(INDEX(Справочник_KPI!$D:$D,MATCH($A18,Справочник_KPI!$A:$A,0)),"нет в справочнике")</f>
        <v>Текучесть персонала (12 мес)</v>
      </c>
      <c r="C18" s="20" t="str">
        <f aca="false">IFERROR(INDEX(Справочник_KPI!$E:$E,MATCH($A18,Справочник_KPI!$A:$A,0)),"")</f>
        <v>%</v>
      </c>
      <c r="D18" s="21" t="n">
        <v>32.09</v>
      </c>
      <c r="E18" s="21" t="n">
        <v>32.56</v>
      </c>
      <c r="F18" s="21" t="n">
        <v>31.85</v>
      </c>
      <c r="G18" s="21" t="n">
        <v>32.32</v>
      </c>
      <c r="H18" s="21" t="n">
        <v>32.13</v>
      </c>
      <c r="I18" s="21" t="n">
        <v>31.24</v>
      </c>
      <c r="J18" s="21" t="n">
        <v>31.43</v>
      </c>
      <c r="K18" s="21" t="n">
        <v>31.57</v>
      </c>
      <c r="L18" s="21" t="n">
        <v>31.53</v>
      </c>
      <c r="M18" s="21"/>
      <c r="N18" s="21"/>
      <c r="O18" s="21"/>
      <c r="P18" s="22" t="n">
        <f aca="false">IF(COUNT(D18:O18)=0,"",IF(IFERROR(INDEX(Справочник_KPI!$G:$G,MATCH($A18,Справочник_KPI!$A:$A,0)),"")="sum",SUM(D18:O18),IF(IFERROR(INDEX(Справочник_KPI!$G:$G,MATCH($A18,Справочник_KPI!$A:$A,0)),"")="last",INDEX(D18:O18,COUNT(D18:O18)),AVERAGE(D18:O18))))</f>
        <v>31.53</v>
      </c>
    </row>
    <row r="19" customFormat="false" ht="15" hidden="false" customHeight="false" outlineLevel="0" collapsed="false">
      <c r="A19" s="13" t="s">
        <v>229</v>
      </c>
      <c r="B19" s="20" t="str">
        <f aca="false">IFERROR(INDEX(Справочник_KPI!$D:$D,MATCH($A19,Справочник_KPI!$A:$A,0)),"нет в справочнике")</f>
        <v>Объём отгрузок</v>
      </c>
      <c r="C19" s="20" t="str">
        <f aca="false">IFERROR(INDEX(Справочник_KPI!$E:$E,MATCH($A19,Справочник_KPI!$A:$A,0)),"")</f>
        <v>т</v>
      </c>
      <c r="D19" s="23" t="n">
        <v>8421</v>
      </c>
      <c r="E19" s="23" t="n">
        <v>8047</v>
      </c>
      <c r="F19" s="23" t="n">
        <v>9581</v>
      </c>
      <c r="G19" s="23" t="n">
        <v>9205</v>
      </c>
      <c r="H19" s="23" t="n">
        <v>9715</v>
      </c>
      <c r="I19" s="23" t="n">
        <v>9610</v>
      </c>
      <c r="J19" s="23" t="n">
        <v>10046</v>
      </c>
      <c r="K19" s="23" t="n">
        <v>10004</v>
      </c>
      <c r="L19" s="23" t="n">
        <v>9597</v>
      </c>
      <c r="M19" s="23"/>
      <c r="N19" s="23"/>
      <c r="O19" s="23"/>
      <c r="P19" s="22" t="n">
        <f aca="false">IF(COUNT(D19:O19)=0,"",IF(IFERROR(INDEX(Справочник_KPI!$G:$G,MATCH($A19,Справочник_KPI!$A:$A,0)),"")="sum",SUM(D19:O19),IF(IFERROR(INDEX(Справочник_KPI!$G:$G,MATCH($A19,Справочник_KPI!$A:$A,0)),"")="last",INDEX(D19:O19,COUNT(D19:O19)),AVERAGE(D19:O19))))</f>
        <v>84226</v>
      </c>
    </row>
    <row r="20" customFormat="false" ht="15" hidden="false" customHeight="false" outlineLevel="0" collapsed="false">
      <c r="A20" s="13" t="s">
        <v>236</v>
      </c>
      <c r="B20" s="20" t="str">
        <f aca="false">IFERROR(INDEX(Справочник_KPI!$D:$D,MATCH($A20,Справочник_KPI!$A:$A,0)),"нет в справочнике")</f>
        <v>Новые ТТ</v>
      </c>
      <c r="C20" s="20" t="str">
        <f aca="false">IFERROR(INDEX(Справочник_KPI!$E:$E,MATCH($A20,Справочник_KPI!$A:$A,0)),"")</f>
        <v>ТТ</v>
      </c>
      <c r="D20" s="23" t="n">
        <v>392</v>
      </c>
      <c r="E20" s="23" t="n">
        <v>375</v>
      </c>
      <c r="F20" s="23" t="n">
        <v>445</v>
      </c>
      <c r="G20" s="23" t="n">
        <v>426</v>
      </c>
      <c r="H20" s="23" t="n">
        <v>448</v>
      </c>
      <c r="I20" s="23" t="n">
        <v>442</v>
      </c>
      <c r="J20" s="23" t="n">
        <v>463</v>
      </c>
      <c r="K20" s="23" t="n">
        <v>465</v>
      </c>
      <c r="L20" s="23" t="n">
        <v>443</v>
      </c>
      <c r="M20" s="23"/>
      <c r="N20" s="23"/>
      <c r="O20" s="23"/>
      <c r="P20" s="22" t="n">
        <f aca="false">IF(COUNT(D20:O20)=0,"",IF(IFERROR(INDEX(Справочник_KPI!$G:$G,MATCH($A20,Справочник_KPI!$A:$A,0)),"")="sum",SUM(D20:O20),IF(IFERROR(INDEX(Справочник_KPI!$G:$G,MATCH($A20,Справочник_KPI!$A:$A,0)),"")="last",INDEX(D20:O20,COUNT(D20:O20)),AVERAGE(D20:O20))))</f>
        <v>3899</v>
      </c>
    </row>
    <row r="21" customFormat="false" ht="15" hidden="false" customHeight="false" outlineLevel="0" collapsed="false">
      <c r="A21" s="13" t="s">
        <v>241</v>
      </c>
      <c r="B21" s="20" t="str">
        <f aca="false">IFERROR(INDEX(Справочник_KPI!$D:$D,MATCH($A21,Справочник_KPI!$A:$A,0)),"нет в справочнике")</f>
        <v>Числовая дистрибуция must-list</v>
      </c>
      <c r="C21" s="20" t="str">
        <f aca="false">IFERROR(INDEX(Справочник_KPI!$E:$E,MATCH($A21,Справочник_KPI!$A:$A,0)),"")</f>
        <v>%</v>
      </c>
      <c r="D21" s="21" t="n">
        <v>82.99</v>
      </c>
      <c r="E21" s="21" t="n">
        <v>83.03</v>
      </c>
      <c r="F21" s="21" t="n">
        <v>82.38</v>
      </c>
      <c r="G21" s="21" t="n">
        <v>84.46</v>
      </c>
      <c r="H21" s="21" t="n">
        <v>83.96</v>
      </c>
      <c r="I21" s="21" t="n">
        <v>83.33</v>
      </c>
      <c r="J21" s="21" t="n">
        <v>83.76</v>
      </c>
      <c r="K21" s="21" t="n">
        <v>85.42</v>
      </c>
      <c r="L21" s="21" t="n">
        <v>85.8</v>
      </c>
      <c r="M21" s="21"/>
      <c r="N21" s="21"/>
      <c r="O21" s="21"/>
      <c r="P21" s="22" t="n">
        <f aca="false">IF(COUNT(D21:O21)=0,"",IF(IFERROR(INDEX(Справочник_KPI!$G:$G,MATCH($A21,Справочник_KPI!$A:$A,0)),"")="sum",SUM(D21:O21),IF(IFERROR(INDEX(Справочник_KPI!$G:$G,MATCH($A21,Справочник_KPI!$A:$A,0)),"")="last",INDEX(D21:O21,COUNT(D21:O21)),AVERAGE(D21:O21))))</f>
        <v>83.9033333333333</v>
      </c>
    </row>
    <row r="22" customFormat="false" ht="15" hidden="false" customHeight="false" outlineLevel="0" collapsed="false">
      <c r="A22" s="13" t="s">
        <v>247</v>
      </c>
      <c r="B22" s="20" t="str">
        <f aca="false">IFERROR(INDEX(Справочник_KPI!$D:$D,MATCH($A22,Справочник_KPI!$A:$A,0)),"нет в справочнике")</f>
        <v>Количество заказов</v>
      </c>
      <c r="C22" s="20" t="str">
        <f aca="false">IFERROR(INDEX(Справочник_KPI!$E:$E,MATCH($A22,Справочник_KPI!$A:$A,0)),"")</f>
        <v>шт</v>
      </c>
      <c r="D22" s="23" t="n">
        <v>60604</v>
      </c>
      <c r="E22" s="23" t="n">
        <v>58386</v>
      </c>
      <c r="F22" s="23" t="n">
        <v>68966</v>
      </c>
      <c r="G22" s="23" t="n">
        <v>66911</v>
      </c>
      <c r="H22" s="23" t="n">
        <v>69650</v>
      </c>
      <c r="I22" s="23" t="n">
        <v>68295</v>
      </c>
      <c r="J22" s="23" t="n">
        <v>72789</v>
      </c>
      <c r="K22" s="23" t="n">
        <v>72197</v>
      </c>
      <c r="L22" s="23" t="n">
        <v>68715</v>
      </c>
      <c r="M22" s="23"/>
      <c r="N22" s="23"/>
      <c r="O22" s="23"/>
      <c r="P22" s="22" t="n">
        <f aca="false">IF(COUNT(D22:O22)=0,"",IF(IFERROR(INDEX(Справочник_KPI!$G:$G,MATCH($A22,Справочник_KPI!$A:$A,0)),"")="sum",SUM(D22:O22),IF(IFERROR(INDEX(Справочник_KPI!$G:$G,MATCH($A22,Справочник_KPI!$A:$A,0)),"")="last",INDEX(D22:O22,COUNT(D22:O22)),AVERAGE(D22:O22))))</f>
        <v>606513</v>
      </c>
    </row>
    <row r="23" customFormat="false" ht="15" hidden="false" customHeight="false" outlineLevel="0" collapsed="false">
      <c r="A23" s="13" t="s">
        <v>260</v>
      </c>
      <c r="B23" s="20" t="str">
        <f aca="false">IFERROR(INDEX(Справочник_KPI!$D:$D,MATCH($A23,Справочник_KPI!$A:$A,0)),"нет в справочнике")</f>
        <v>Строк (SKU) в заказе</v>
      </c>
      <c r="C23" s="20" t="str">
        <f aca="false">IFERROR(INDEX(Справочник_KPI!$E:$E,MATCH($A23,Справочник_KPI!$A:$A,0)),"")</f>
        <v>шт</v>
      </c>
      <c r="D23" s="21" t="n">
        <v>13.13</v>
      </c>
      <c r="E23" s="21" t="n">
        <v>13.27</v>
      </c>
      <c r="F23" s="21" t="n">
        <v>13.36</v>
      </c>
      <c r="G23" s="21" t="n">
        <v>14.03</v>
      </c>
      <c r="H23" s="21" t="n">
        <v>13.68</v>
      </c>
      <c r="I23" s="21" t="n">
        <v>13.51</v>
      </c>
      <c r="J23" s="21" t="n">
        <v>13.64</v>
      </c>
      <c r="K23" s="21" t="n">
        <v>13.55</v>
      </c>
      <c r="L23" s="21" t="n">
        <v>13.39</v>
      </c>
      <c r="M23" s="21"/>
      <c r="N23" s="21"/>
      <c r="O23" s="21"/>
      <c r="P23" s="22" t="n">
        <f aca="false">IF(COUNT(D23:O23)=0,"",IF(IFERROR(INDEX(Справочник_KPI!$G:$G,MATCH($A23,Справочник_KPI!$A:$A,0)),"")="sum",SUM(D23:O23),IF(IFERROR(INDEX(Справочник_KPI!$G:$G,MATCH($A23,Справочник_KPI!$A:$A,0)),"")="last",INDEX(D23:O23,COUNT(D23:O23)),AVERAGE(D23:O23))))</f>
        <v>13.5066666666667</v>
      </c>
    </row>
    <row r="24" customFormat="false" ht="15" hidden="false" customHeight="false" outlineLevel="0" collapsed="false">
      <c r="A24" s="13" t="s">
        <v>265</v>
      </c>
      <c r="B24" s="20" t="str">
        <f aca="false">IFERROR(INDEX(Справочник_KPI!$D:$D,MATCH($A24,Справочник_KPI!$A:$A,0)),"нет в справочнике")</f>
        <v>Результативность визитов (strike rate)</v>
      </c>
      <c r="C24" s="20" t="str">
        <f aca="false">IFERROR(INDEX(Справочник_KPI!$E:$E,MATCH($A24,Справочник_KPI!$A:$A,0)),"")</f>
        <v>%</v>
      </c>
      <c r="D24" s="21" t="n">
        <v>76.42</v>
      </c>
      <c r="E24" s="21" t="n">
        <v>77.67</v>
      </c>
      <c r="F24" s="21" t="n">
        <v>78.15</v>
      </c>
      <c r="G24" s="21" t="n">
        <v>77.37</v>
      </c>
      <c r="H24" s="21" t="n">
        <v>78.28</v>
      </c>
      <c r="I24" s="21" t="n">
        <v>76.66</v>
      </c>
      <c r="J24" s="21" t="n">
        <v>79.11</v>
      </c>
      <c r="K24" s="21" t="n">
        <v>78.66</v>
      </c>
      <c r="L24" s="21" t="n">
        <v>79.96</v>
      </c>
      <c r="M24" s="21"/>
      <c r="N24" s="21"/>
      <c r="O24" s="21"/>
      <c r="P24" s="22" t="n">
        <f aca="false">IF(COUNT(D24:O24)=0,"",IF(IFERROR(INDEX(Справочник_KPI!$G:$G,MATCH($A24,Справочник_KPI!$A:$A,0)),"")="sum",SUM(D24:O24),IF(IFERROR(INDEX(Справочник_KPI!$G:$G,MATCH($A24,Справочник_KPI!$A:$A,0)),"")="last",INDEX(D24:O24,COUNT(D24:O24)),AVERAGE(D24:O24))))</f>
        <v>78.0311111111111</v>
      </c>
    </row>
    <row r="25" customFormat="false" ht="15" hidden="false" customHeight="false" outlineLevel="0" collapsed="false">
      <c r="A25" s="13" t="s">
        <v>270</v>
      </c>
      <c r="B25" s="20" t="str">
        <f aca="false">IFERROR(INDEX(Справочник_KPI!$D:$D,MATCH($A25,Справочник_KPI!$A:$A,0)),"нет в справочнике")</f>
        <v>Выполнение маршрутов ТП</v>
      </c>
      <c r="C25" s="20" t="str">
        <f aca="false">IFERROR(INDEX(Справочник_KPI!$E:$E,MATCH($A25,Справочник_KPI!$A:$A,0)),"")</f>
        <v>%</v>
      </c>
      <c r="D25" s="21" t="n">
        <v>93.02</v>
      </c>
      <c r="E25" s="21" t="n">
        <v>93.66</v>
      </c>
      <c r="F25" s="21" t="n">
        <v>93.79</v>
      </c>
      <c r="G25" s="21" t="n">
        <v>93.84</v>
      </c>
      <c r="H25" s="21" t="n">
        <v>94.16</v>
      </c>
      <c r="I25" s="21" t="n">
        <v>94.54</v>
      </c>
      <c r="J25" s="21" t="n">
        <v>95.71</v>
      </c>
      <c r="K25" s="21" t="n">
        <v>95.54</v>
      </c>
      <c r="L25" s="21" t="n">
        <v>95.54</v>
      </c>
      <c r="M25" s="21"/>
      <c r="N25" s="21"/>
      <c r="O25" s="21"/>
      <c r="P25" s="22" t="n">
        <f aca="false">IF(COUNT(D25:O25)=0,"",IF(IFERROR(INDEX(Справочник_KPI!$G:$G,MATCH($A25,Справочник_KPI!$A:$A,0)),"")="sum",SUM(D25:O25),IF(IFERROR(INDEX(Справочник_KPI!$G:$G,MATCH($A25,Справочник_KPI!$A:$A,0)),"")="last",INDEX(D25:O25,COUNT(D25:O25)),AVERAGE(D25:O25))))</f>
        <v>94.4222222222222</v>
      </c>
    </row>
    <row r="26" customFormat="false" ht="15" hidden="false" customHeight="false" outlineLevel="0" collapsed="false">
      <c r="A26" s="13" t="s">
        <v>275</v>
      </c>
      <c r="B26" s="20" t="str">
        <f aca="false">IFERROR(INDEX(Справочник_KPI!$D:$D,MATCH($A26,Справочник_KPI!$A:$A,0)),"нет в справочнике")</f>
        <v>OTIF клиентам</v>
      </c>
      <c r="C26" s="20" t="str">
        <f aca="false">IFERROR(INDEX(Справочник_KPI!$E:$E,MATCH($A26,Справочник_KPI!$A:$A,0)),"")</f>
        <v>%</v>
      </c>
      <c r="D26" s="21" t="n">
        <v>95.42</v>
      </c>
      <c r="E26" s="21" t="n">
        <v>95.17</v>
      </c>
      <c r="F26" s="21" t="n">
        <v>95.4</v>
      </c>
      <c r="G26" s="21" t="n">
        <v>95.78</v>
      </c>
      <c r="H26" s="21" t="n">
        <v>95.8</v>
      </c>
      <c r="I26" s="21" t="n">
        <v>95.97</v>
      </c>
      <c r="J26" s="21" t="n">
        <v>95.81</v>
      </c>
      <c r="K26" s="21" t="n">
        <v>96.34</v>
      </c>
      <c r="L26" s="21" t="n">
        <v>97.53</v>
      </c>
      <c r="M26" s="21"/>
      <c r="N26" s="21"/>
      <c r="O26" s="21"/>
      <c r="P26" s="22" t="n">
        <f aca="false">IF(COUNT(D26:O26)=0,"",IF(IFERROR(INDEX(Справочник_KPI!$G:$G,MATCH($A26,Справочник_KPI!$A:$A,0)),"")="sum",SUM(D26:O26),IF(IFERROR(INDEX(Справочник_KPI!$G:$G,MATCH($A26,Справочник_KPI!$A:$A,0)),"")="last",INDEX(D26:O26,COUNT(D26:O26)),AVERAGE(D26:O26))))</f>
        <v>95.9133333333333</v>
      </c>
    </row>
    <row r="27" customFormat="false" ht="15" hidden="false" customHeight="false" outlineLevel="0" collapsed="false">
      <c r="A27" s="13" t="s">
        <v>281</v>
      </c>
      <c r="B27" s="20" t="str">
        <f aca="false">IFERROR(INDEX(Справочник_KPI!$D:$D,MATCH($A27,Справочник_KPI!$A:$A,0)),"нет в справочнике")</f>
        <v>Возвраты (служебный)</v>
      </c>
      <c r="C27" s="20" t="str">
        <f aca="false">IFERROR(INDEX(Справочник_KPI!$E:$E,MATCH($A27,Справочник_KPI!$A:$A,0)),"")</f>
        <v>млн грн</v>
      </c>
      <c r="D27" s="21" t="n">
        <v>6.59</v>
      </c>
      <c r="E27" s="21" t="n">
        <v>6.32</v>
      </c>
      <c r="F27" s="21" t="n">
        <v>7.53</v>
      </c>
      <c r="G27" s="21" t="n">
        <v>7.27</v>
      </c>
      <c r="H27" s="21" t="n">
        <v>7.63</v>
      </c>
      <c r="I27" s="21" t="n">
        <v>7.51</v>
      </c>
      <c r="J27" s="21" t="n">
        <v>7.87</v>
      </c>
      <c r="K27" s="21" t="n">
        <v>7.86</v>
      </c>
      <c r="L27" s="21" t="n">
        <v>7.47</v>
      </c>
      <c r="M27" s="21"/>
      <c r="N27" s="21"/>
      <c r="O27" s="21"/>
      <c r="P27" s="22" t="n">
        <f aca="false">IF(COUNT(D27:O27)=0,"",IF(IFERROR(INDEX(Справочник_KPI!$G:$G,MATCH($A27,Справочник_KPI!$A:$A,0)),"")="sum",SUM(D27:O27),IF(IFERROR(INDEX(Справочник_KPI!$G:$G,MATCH($A27,Справочник_KPI!$A:$A,0)),"")="last",INDEX(D27:O27,COUNT(D27:O27)),AVERAGE(D27:O27))))</f>
        <v>66.05</v>
      </c>
    </row>
    <row r="28" customFormat="false" ht="15" hidden="false" customHeight="false" outlineLevel="0" collapsed="false">
      <c r="A28" s="13" t="s">
        <v>290</v>
      </c>
      <c r="B28" s="20" t="str">
        <f aca="false">IFERROR(INDEX(Справочник_KPI!$D:$D,MATCH($A28,Справочник_KPI!$A:$A,0)),"нет в справочнике")</f>
        <v>Скидки и промо (служебный)</v>
      </c>
      <c r="C28" s="20" t="str">
        <f aca="false">IFERROR(INDEX(Справочник_KPI!$E:$E,MATCH($A28,Справочник_KPI!$A:$A,0)),"")</f>
        <v>млн грн</v>
      </c>
      <c r="D28" s="21" t="n">
        <v>18.32</v>
      </c>
      <c r="E28" s="21" t="n">
        <v>17.54</v>
      </c>
      <c r="F28" s="21" t="n">
        <v>20.75</v>
      </c>
      <c r="G28" s="21" t="n">
        <v>19.94</v>
      </c>
      <c r="H28" s="21" t="n">
        <v>20.99</v>
      </c>
      <c r="I28" s="21" t="n">
        <v>20.77</v>
      </c>
      <c r="J28" s="21" t="n">
        <v>21.9</v>
      </c>
      <c r="K28" s="21" t="n">
        <v>21.84</v>
      </c>
      <c r="L28" s="21" t="n">
        <v>20.8</v>
      </c>
      <c r="M28" s="21"/>
      <c r="N28" s="21"/>
      <c r="O28" s="21"/>
      <c r="P28" s="22" t="n">
        <f aca="false">IF(COUNT(D28:O28)=0,"",IF(IFERROR(INDEX(Справочник_KPI!$G:$G,MATCH($A28,Справочник_KPI!$A:$A,0)),"")="sum",SUM(D28:O28),IF(IFERROR(INDEX(Справочник_KPI!$G:$G,MATCH($A28,Справочник_KPI!$A:$A,0)),"")="last",INDEX(D28:O28,COUNT(D28:O28)),AVERAGE(D28:O28))))</f>
        <v>182.85</v>
      </c>
    </row>
    <row r="29" customFormat="false" ht="15" hidden="false" customHeight="false" outlineLevel="0" collapsed="false">
      <c r="A29" s="13" t="s">
        <v>299</v>
      </c>
      <c r="B29" s="20" t="str">
        <f aca="false">IFERROR(INDEX(Справочник_KPI!$D:$D,MATCH($A29,Справочник_KPI!$A:$A,0)),"нет в справочнике")</f>
        <v>Инкассация ДЗ (собрано / к оплате)</v>
      </c>
      <c r="C29" s="20" t="str">
        <f aca="false">IFERROR(INDEX(Справочник_KPI!$E:$E,MATCH($A29,Справочник_KPI!$A:$A,0)),"")</f>
        <v>%</v>
      </c>
      <c r="D29" s="21" t="n">
        <v>95.34</v>
      </c>
      <c r="E29" s="21" t="n">
        <v>95.68</v>
      </c>
      <c r="F29" s="21" t="n">
        <v>97.34</v>
      </c>
      <c r="G29" s="21" t="n">
        <v>98.02</v>
      </c>
      <c r="H29" s="21" t="n">
        <v>97.49</v>
      </c>
      <c r="I29" s="21" t="n">
        <v>98.03</v>
      </c>
      <c r="J29" s="21" t="n">
        <v>97.17</v>
      </c>
      <c r="K29" s="21" t="n">
        <v>98.26</v>
      </c>
      <c r="L29" s="21" t="n">
        <v>99.64</v>
      </c>
      <c r="M29" s="21"/>
      <c r="N29" s="21"/>
      <c r="O29" s="21"/>
      <c r="P29" s="22" t="n">
        <f aca="false">IF(COUNT(D29:O29)=0,"",IF(IFERROR(INDEX(Справочник_KPI!$G:$G,MATCH($A29,Справочник_KPI!$A:$A,0)),"")="sum",SUM(D29:O29),IF(IFERROR(INDEX(Справочник_KPI!$G:$G,MATCH($A29,Справочник_KPI!$A:$A,0)),"")="last",INDEX(D29:O29,COUNT(D29:O29)),AVERAGE(D29:O29))))</f>
        <v>97.4411111111111</v>
      </c>
    </row>
    <row r="30" customFormat="false" ht="15" hidden="false" customHeight="false" outlineLevel="0" collapsed="false">
      <c r="A30" s="13" t="s">
        <v>304</v>
      </c>
      <c r="B30" s="20" t="str">
        <f aca="false">IFERROR(INDEX(Справочник_KPI!$D:$D,MATCH($A30,Справочник_KPI!$A:$A,0)),"нет в справочнике")</f>
        <v>Объём закупок</v>
      </c>
      <c r="C30" s="20" t="str">
        <f aca="false">IFERROR(INDEX(Справочник_KPI!$E:$E,MATCH($A30,Справочник_KPI!$A:$A,0)),"")</f>
        <v>млн грн</v>
      </c>
      <c r="D30" s="21" t="n">
        <v>432.31</v>
      </c>
      <c r="E30" s="21" t="n">
        <v>411.31</v>
      </c>
      <c r="F30" s="21" t="n">
        <v>486.29</v>
      </c>
      <c r="G30" s="21" t="n">
        <v>471.76</v>
      </c>
      <c r="H30" s="21" t="n">
        <v>494.51</v>
      </c>
      <c r="I30" s="21" t="n">
        <v>481.91</v>
      </c>
      <c r="J30" s="21" t="n">
        <v>505.58</v>
      </c>
      <c r="K30" s="21" t="n">
        <v>505.06</v>
      </c>
      <c r="L30" s="21" t="n">
        <v>489.63</v>
      </c>
      <c r="M30" s="21"/>
      <c r="N30" s="21"/>
      <c r="O30" s="21"/>
      <c r="P30" s="22" t="n">
        <f aca="false">IF(COUNT(D30:O30)=0,"",IF(IFERROR(INDEX(Справочник_KPI!$G:$G,MATCH($A30,Справочник_KPI!$A:$A,0)),"")="sum",SUM(D30:O30),IF(IFERROR(INDEX(Справочник_KPI!$G:$G,MATCH($A30,Справочник_KPI!$A:$A,0)),"")="last",INDEX(D30:O30,COUNT(D30:O30)),AVERAGE(D30:O30))))</f>
        <v>4278.36</v>
      </c>
    </row>
    <row r="31" customFormat="false" ht="15" hidden="false" customHeight="false" outlineLevel="0" collapsed="false">
      <c r="A31" s="13" t="s">
        <v>310</v>
      </c>
      <c r="B31" s="20" t="str">
        <f aca="false">IFERROR(INDEX(Справочник_KPI!$D:$D,MATCH($A31,Справочник_KPI!$A:$A,0)),"нет в справочнике")</f>
        <v>Товарный запас</v>
      </c>
      <c r="C31" s="20" t="str">
        <f aca="false">IFERROR(INDEX(Справочник_KPI!$E:$E,MATCH($A31,Справочник_KPI!$A:$A,0)),"")</f>
        <v>млн грн</v>
      </c>
      <c r="D31" s="21" t="n">
        <v>477.69</v>
      </c>
      <c r="E31" s="21" t="n">
        <v>483.02</v>
      </c>
      <c r="F31" s="21" t="n">
        <v>481.07</v>
      </c>
      <c r="G31" s="21" t="n">
        <v>494.19</v>
      </c>
      <c r="H31" s="21" t="n">
        <v>491.79</v>
      </c>
      <c r="I31" s="21" t="n">
        <v>504.24</v>
      </c>
      <c r="J31" s="21" t="n">
        <v>505.15</v>
      </c>
      <c r="K31" s="21" t="n">
        <v>505.25</v>
      </c>
      <c r="L31" s="21" t="n">
        <v>507.34</v>
      </c>
      <c r="M31" s="21"/>
      <c r="N31" s="21"/>
      <c r="O31" s="21"/>
      <c r="P31" s="22" t="n">
        <f aca="false">IF(COUNT(D31:O31)=0,"",IF(IFERROR(INDEX(Справочник_KPI!$G:$G,MATCH($A31,Справочник_KPI!$A:$A,0)),"")="sum",SUM(D31:O31),IF(IFERROR(INDEX(Справочник_KPI!$G:$G,MATCH($A31,Справочник_KPI!$A:$A,0)),"")="last",INDEX(D31:O31,COUNT(D31:O31)),AVERAGE(D31:O31))))</f>
        <v>507.34</v>
      </c>
    </row>
    <row r="32" customFormat="false" ht="15" hidden="false" customHeight="false" outlineLevel="0" collapsed="false">
      <c r="A32" s="13" t="s">
        <v>322</v>
      </c>
      <c r="B32" s="20" t="str">
        <f aca="false">IFERROR(INDEX(Справочник_KPI!$D:$D,MATCH($A32,Справочник_KPI!$A:$A,0)),"нет в справочнике")</f>
        <v>Неликвид и медленные (&gt; 90 дн.)</v>
      </c>
      <c r="C32" s="20" t="str">
        <f aca="false">IFERROR(INDEX(Справочник_KPI!$E:$E,MATCH($A32,Справочник_KPI!$A:$A,0)),"")</f>
        <v>%</v>
      </c>
      <c r="D32" s="21" t="n">
        <v>6.06</v>
      </c>
      <c r="E32" s="21" t="n">
        <v>6.23</v>
      </c>
      <c r="F32" s="21" t="n">
        <v>6.08</v>
      </c>
      <c r="G32" s="21" t="n">
        <v>6.14</v>
      </c>
      <c r="H32" s="21" t="n">
        <v>5.95</v>
      </c>
      <c r="I32" s="21" t="n">
        <v>5.82</v>
      </c>
      <c r="J32" s="21" t="n">
        <v>5.79</v>
      </c>
      <c r="K32" s="21" t="n">
        <v>6.05</v>
      </c>
      <c r="L32" s="21" t="n">
        <v>5.91</v>
      </c>
      <c r="M32" s="21"/>
      <c r="N32" s="21"/>
      <c r="O32" s="21"/>
      <c r="P32" s="22" t="n">
        <f aca="false">IF(COUNT(D32:O32)=0,"",IF(IFERROR(INDEX(Справочник_KPI!$G:$G,MATCH($A32,Справочник_KPI!$A:$A,0)),"")="sum",SUM(D32:O32),IF(IFERROR(INDEX(Справочник_KPI!$G:$G,MATCH($A32,Справочник_KPI!$A:$A,0)),"")="last",INDEX(D32:O32,COUNT(D32:O32)),AVERAGE(D32:O32))))</f>
        <v>5.91</v>
      </c>
    </row>
    <row r="33" customFormat="false" ht="15" hidden="false" customHeight="false" outlineLevel="0" collapsed="false">
      <c r="A33" s="13" t="s">
        <v>327</v>
      </c>
      <c r="B33" s="20" t="str">
        <f aca="false">IFERROR(INDEX(Справочник_KPI!$D:$D,MATCH($A33,Справочник_KPI!$A:$A,0)),"нет в справочнике")</f>
        <v>Списания (служебный)</v>
      </c>
      <c r="C33" s="20" t="str">
        <f aca="false">IFERROR(INDEX(Справочник_KPI!$E:$E,MATCH($A33,Справочник_KPI!$A:$A,0)),"")</f>
        <v>млн грн</v>
      </c>
      <c r="D33" s="21" t="n">
        <v>1.71</v>
      </c>
      <c r="E33" s="21" t="n">
        <v>1.63</v>
      </c>
      <c r="F33" s="21" t="n">
        <v>1.94</v>
      </c>
      <c r="G33" s="21" t="n">
        <v>1.87</v>
      </c>
      <c r="H33" s="21" t="n">
        <v>1.94</v>
      </c>
      <c r="I33" s="21" t="n">
        <v>1.91</v>
      </c>
      <c r="J33" s="21" t="n">
        <v>2.01</v>
      </c>
      <c r="K33" s="21" t="n">
        <v>2.01</v>
      </c>
      <c r="L33" s="21" t="n">
        <v>1.93</v>
      </c>
      <c r="M33" s="21"/>
      <c r="N33" s="21"/>
      <c r="O33" s="21"/>
      <c r="P33" s="22" t="n">
        <f aca="false">IF(COUNT(D33:O33)=0,"",IF(IFERROR(INDEX(Справочник_KPI!$G:$G,MATCH($A33,Справочник_KPI!$A:$A,0)),"")="sum",SUM(D33:O33),IF(IFERROR(INDEX(Справочник_KPI!$G:$G,MATCH($A33,Справочник_KPI!$A:$A,0)),"")="last",INDEX(D33:O33,COUNT(D33:O33)),AVERAGE(D33:O33))))</f>
        <v>16.95</v>
      </c>
    </row>
    <row r="34" customFormat="false" ht="15" hidden="false" customHeight="false" outlineLevel="0" collapsed="false">
      <c r="A34" s="13" t="s">
        <v>336</v>
      </c>
      <c r="B34" s="20" t="str">
        <f aca="false">IFERROR(INDEX(Справочник_KPI!$D:$D,MATCH($A34,Справочник_KPI!$A:$A,0)),"нет в справочнике")</f>
        <v>Out-of-stock на складе</v>
      </c>
      <c r="C34" s="20" t="str">
        <f aca="false">IFERROR(INDEX(Справочник_KPI!$E:$E,MATCH($A34,Справочник_KPI!$A:$A,0)),"")</f>
        <v>%</v>
      </c>
      <c r="D34" s="21" t="n">
        <v>3.63</v>
      </c>
      <c r="E34" s="21" t="n">
        <v>3.21</v>
      </c>
      <c r="F34" s="21" t="n">
        <v>3.66</v>
      </c>
      <c r="G34" s="21" t="n">
        <v>3.58</v>
      </c>
      <c r="H34" s="21" t="n">
        <v>3.36</v>
      </c>
      <c r="I34" s="21" t="n">
        <v>3.09</v>
      </c>
      <c r="J34" s="21" t="n">
        <v>3.67</v>
      </c>
      <c r="K34" s="21" t="n">
        <v>3.11</v>
      </c>
      <c r="L34" s="21" t="n">
        <v>3.49</v>
      </c>
      <c r="M34" s="21"/>
      <c r="N34" s="21"/>
      <c r="O34" s="21"/>
      <c r="P34" s="22" t="n">
        <f aca="false">IF(COUNT(D34:O34)=0,"",IF(IFERROR(INDEX(Справочник_KPI!$G:$G,MATCH($A34,Справочник_KPI!$A:$A,0)),"")="sum",SUM(D34:O34),IF(IFERROR(INDEX(Справочник_KPI!$G:$G,MATCH($A34,Справочник_KPI!$A:$A,0)),"")="last",INDEX(D34:O34,COUNT(D34:O34)),AVERAGE(D34:O34))))</f>
        <v>3.42222222222222</v>
      </c>
    </row>
    <row r="35" customFormat="false" ht="15" hidden="false" customHeight="false" outlineLevel="0" collapsed="false">
      <c r="A35" s="13" t="s">
        <v>342</v>
      </c>
      <c r="B35" s="20" t="str">
        <f aca="false">IFERROR(INDEX(Справочник_KPI!$D:$D,MATCH($A35,Справочник_KPI!$A:$A,0)),"нет в справочнике")</f>
        <v>Fill rate склада (по строкам)</v>
      </c>
      <c r="C35" s="20" t="str">
        <f aca="false">IFERROR(INDEX(Справочник_KPI!$E:$E,MATCH($A35,Справочник_KPI!$A:$A,0)),"")</f>
        <v>%</v>
      </c>
      <c r="D35" s="21" t="n">
        <v>96.83</v>
      </c>
      <c r="E35" s="21" t="n">
        <v>96.9</v>
      </c>
      <c r="F35" s="21" t="n">
        <v>97.36</v>
      </c>
      <c r="G35" s="21" t="n">
        <v>97.17</v>
      </c>
      <c r="H35" s="21" t="n">
        <v>97.28</v>
      </c>
      <c r="I35" s="21" t="n">
        <v>97.43</v>
      </c>
      <c r="J35" s="21" t="n">
        <v>97.71</v>
      </c>
      <c r="K35" s="21" t="n">
        <v>98.06</v>
      </c>
      <c r="L35" s="21" t="n">
        <v>98.21</v>
      </c>
      <c r="M35" s="21"/>
      <c r="N35" s="21"/>
      <c r="O35" s="21"/>
      <c r="P35" s="22" t="n">
        <f aca="false">IF(COUNT(D35:O35)=0,"",IF(IFERROR(INDEX(Справочник_KPI!$G:$G,MATCH($A35,Справочник_KPI!$A:$A,0)),"")="sum",SUM(D35:O35),IF(IFERROR(INDEX(Справочник_KPI!$G:$G,MATCH($A35,Справочник_KPI!$A:$A,0)),"")="last",INDEX(D35:O35,COUNT(D35:O35)),AVERAGE(D35:O35))))</f>
        <v>97.4388888888889</v>
      </c>
    </row>
    <row r="36" customFormat="false" ht="15" hidden="false" customHeight="false" outlineLevel="0" collapsed="false">
      <c r="A36" s="13" t="s">
        <v>347</v>
      </c>
      <c r="B36" s="20" t="str">
        <f aca="false">IFERROR(INDEX(Справочник_KPI!$D:$D,MATCH($A36,Справочник_KPI!$A:$A,0)),"нет в справочнике")</f>
        <v>OTIF поставщиков</v>
      </c>
      <c r="C36" s="20" t="str">
        <f aca="false">IFERROR(INDEX(Справочник_KPI!$E:$E,MATCH($A36,Справочник_KPI!$A:$A,0)),"")</f>
        <v>%</v>
      </c>
      <c r="D36" s="21" t="n">
        <v>87.29</v>
      </c>
      <c r="E36" s="21" t="n">
        <v>86.99</v>
      </c>
      <c r="F36" s="21" t="n">
        <v>88.02</v>
      </c>
      <c r="G36" s="21" t="n">
        <v>88.44</v>
      </c>
      <c r="H36" s="21" t="n">
        <v>90.46</v>
      </c>
      <c r="I36" s="21" t="n">
        <v>88.16</v>
      </c>
      <c r="J36" s="21" t="n">
        <v>90.89</v>
      </c>
      <c r="K36" s="21" t="n">
        <v>88.82</v>
      </c>
      <c r="L36" s="21" t="n">
        <v>89.47</v>
      </c>
      <c r="M36" s="21"/>
      <c r="N36" s="21"/>
      <c r="O36" s="21"/>
      <c r="P36" s="22" t="n">
        <f aca="false">IF(COUNT(D36:O36)=0,"",IF(IFERROR(INDEX(Справочник_KPI!$G:$G,MATCH($A36,Справочник_KPI!$A:$A,0)),"")="sum",SUM(D36:O36),IF(IFERROR(INDEX(Справочник_KPI!$G:$G,MATCH($A36,Справочник_KPI!$A:$A,0)),"")="last",INDEX(D36:O36,COUNT(D36:O36)),AVERAGE(D36:O36))))</f>
        <v>88.7266666666667</v>
      </c>
    </row>
    <row r="37" customFormat="false" ht="15" hidden="false" customHeight="false" outlineLevel="0" collapsed="false">
      <c r="A37" s="13" t="s">
        <v>353</v>
      </c>
      <c r="B37" s="20" t="str">
        <f aca="false">IFERROR(INDEX(Справочник_KPI!$D:$D,MATCH($A37,Справочник_KPI!$A:$A,0)),"нет в справочнике")</f>
        <v>Точность прогноза спроса</v>
      </c>
      <c r="C37" s="20" t="str">
        <f aca="false">IFERROR(INDEX(Справочник_KPI!$E:$E,MATCH($A37,Справочник_KPI!$A:$A,0)),"")</f>
        <v>%</v>
      </c>
      <c r="D37" s="21" t="n">
        <v>75.86</v>
      </c>
      <c r="E37" s="21" t="n">
        <v>76.46</v>
      </c>
      <c r="F37" s="21" t="n">
        <v>76.23</v>
      </c>
      <c r="G37" s="21" t="n">
        <v>76.87</v>
      </c>
      <c r="H37" s="21" t="n">
        <v>77.55</v>
      </c>
      <c r="I37" s="21" t="n">
        <v>79.22</v>
      </c>
      <c r="J37" s="21" t="n">
        <v>79.07</v>
      </c>
      <c r="K37" s="21" t="n">
        <v>80.31</v>
      </c>
      <c r="L37" s="21" t="n">
        <v>81.13</v>
      </c>
      <c r="M37" s="21"/>
      <c r="N37" s="21"/>
      <c r="O37" s="21"/>
      <c r="P37" s="22" t="n">
        <f aca="false">IF(COUNT(D37:O37)=0,"",IF(IFERROR(INDEX(Справочник_KPI!$G:$G,MATCH($A37,Справочник_KPI!$A:$A,0)),"")="sum",SUM(D37:O37),IF(IFERROR(INDEX(Справочник_KPI!$G:$G,MATCH($A37,Справочник_KPI!$A:$A,0)),"")="last",INDEX(D37:O37,COUNT(D37:O37)),AVERAGE(D37:O37))))</f>
        <v>81.13</v>
      </c>
    </row>
    <row r="38" customFormat="false" ht="15" hidden="false" customHeight="false" outlineLevel="0" collapsed="false">
      <c r="A38" s="13" t="s">
        <v>358</v>
      </c>
      <c r="B38" s="20" t="str">
        <f aca="false">IFERROR(INDEX(Справочник_KPI!$D:$D,MATCH($A38,Справочник_KPI!$A:$A,0)),"нет в справочнике")</f>
        <v>Бонусы поставщиков (back margin)</v>
      </c>
      <c r="C38" s="20" t="str">
        <f aca="false">IFERROR(INDEX(Справочник_KPI!$E:$E,MATCH($A38,Справочник_KPI!$A:$A,0)),"")</f>
        <v>%</v>
      </c>
      <c r="D38" s="21" t="n">
        <v>4.22</v>
      </c>
      <c r="E38" s="21" t="n">
        <v>4.04</v>
      </c>
      <c r="F38" s="21" t="n">
        <v>4.09</v>
      </c>
      <c r="G38" s="21" t="n">
        <v>4.15</v>
      </c>
      <c r="H38" s="21" t="n">
        <v>4.25</v>
      </c>
      <c r="I38" s="21" t="n">
        <v>4.26</v>
      </c>
      <c r="J38" s="21" t="n">
        <v>4.15</v>
      </c>
      <c r="K38" s="21" t="n">
        <v>4.13</v>
      </c>
      <c r="L38" s="21" t="n">
        <v>4.18</v>
      </c>
      <c r="M38" s="21"/>
      <c r="N38" s="21"/>
      <c r="O38" s="21"/>
      <c r="P38" s="22" t="n">
        <f aca="false">IF(COUNT(D38:O38)=0,"",IF(IFERROR(INDEX(Справочник_KPI!$G:$G,MATCH($A38,Справочник_KPI!$A:$A,0)),"")="sum",SUM(D38:O38),IF(IFERROR(INDEX(Справочник_KPI!$G:$G,MATCH($A38,Справочник_KPI!$A:$A,0)),"")="last",INDEX(D38:O38,COUNT(D38:O38)),AVERAGE(D38:O38))))</f>
        <v>4.18</v>
      </c>
    </row>
    <row r="39" customFormat="false" ht="15" hidden="false" customHeight="false" outlineLevel="0" collapsed="false">
      <c r="A39" s="13" t="s">
        <v>364</v>
      </c>
      <c r="B39" s="20" t="str">
        <f aca="false">IFERROR(INDEX(Справочник_KPI!$D:$D,MATCH($A39,Справочник_KPI!$A:$A,0)),"нет в справочнике")</f>
        <v>Экономия на закупках</v>
      </c>
      <c r="C39" s="20" t="str">
        <f aca="false">IFERROR(INDEX(Справочник_KPI!$E:$E,MATCH($A39,Справочник_KPI!$A:$A,0)),"")</f>
        <v>млн грн</v>
      </c>
      <c r="D39" s="21" t="n">
        <v>3.21</v>
      </c>
      <c r="E39" s="21" t="n">
        <v>3.06</v>
      </c>
      <c r="F39" s="21" t="n">
        <v>3.64</v>
      </c>
      <c r="G39" s="21" t="n">
        <v>3.49</v>
      </c>
      <c r="H39" s="21" t="n">
        <v>3.66</v>
      </c>
      <c r="I39" s="21" t="n">
        <v>3.65</v>
      </c>
      <c r="J39" s="21" t="n">
        <v>3.79</v>
      </c>
      <c r="K39" s="21" t="n">
        <v>3.8</v>
      </c>
      <c r="L39" s="21" t="n">
        <v>3.66</v>
      </c>
      <c r="M39" s="21"/>
      <c r="N39" s="21"/>
      <c r="O39" s="21"/>
      <c r="P39" s="22" t="n">
        <f aca="false">IF(COUNT(D39:O39)=0,"",IF(IFERROR(INDEX(Справочник_KPI!$G:$G,MATCH($A39,Справочник_KPI!$A:$A,0)),"")="sum",SUM(D39:O39),IF(IFERROR(INDEX(Справочник_KPI!$G:$G,MATCH($A39,Справочник_KPI!$A:$A,0)),"")="last",INDEX(D39:O39,COUNT(D39:O39)),AVERAGE(D39:O39))))</f>
        <v>31.96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15" min="4" style="0" width="1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1" t="s">
        <v>56</v>
      </c>
      <c r="B1" s="11" t="s">
        <v>59</v>
      </c>
      <c r="C1" s="11" t="s">
        <v>60</v>
      </c>
      <c r="D1" s="11" t="s">
        <v>373</v>
      </c>
      <c r="E1" s="11" t="s">
        <v>374</v>
      </c>
      <c r="F1" s="11" t="s">
        <v>375</v>
      </c>
      <c r="G1" s="11" t="s">
        <v>376</v>
      </c>
      <c r="H1" s="11" t="s">
        <v>377</v>
      </c>
      <c r="I1" s="11" t="s">
        <v>378</v>
      </c>
      <c r="J1" s="11" t="s">
        <v>379</v>
      </c>
      <c r="K1" s="11" t="s">
        <v>380</v>
      </c>
      <c r="L1" s="11" t="s">
        <v>381</v>
      </c>
      <c r="M1" s="11" t="s">
        <v>382</v>
      </c>
      <c r="N1" s="11" t="s">
        <v>383</v>
      </c>
      <c r="O1" s="11" t="s">
        <v>384</v>
      </c>
      <c r="P1" s="11" t="s">
        <v>42</v>
      </c>
    </row>
    <row r="2" customFormat="false" ht="15" hidden="false" customHeight="false" outlineLevel="0" collapsed="false">
      <c r="A2" s="13" t="s">
        <v>70</v>
      </c>
      <c r="B2" s="20" t="str">
        <f aca="false">IFERROR(INDEX(Справочник_KPI!$D:$D,MATCH($A2,Справочник_KPI!$A:$A,0)),"нет в справочнике")</f>
        <v>Выручка (net sales)</v>
      </c>
      <c r="C2" s="20" t="str">
        <f aca="false">IFERROR(INDEX(Справочник_KPI!$E:$E,MATCH($A2,Справочник_KPI!$A:$A,0)),"")</f>
        <v>млн грн</v>
      </c>
      <c r="D2" s="21" t="n">
        <v>461.01</v>
      </c>
      <c r="E2" s="21" t="n">
        <v>444.65</v>
      </c>
      <c r="F2" s="21" t="n">
        <v>507.93</v>
      </c>
      <c r="G2" s="21" t="n">
        <v>511.96</v>
      </c>
      <c r="H2" s="21" t="n">
        <v>544.04</v>
      </c>
      <c r="I2" s="21" t="n">
        <v>527.81</v>
      </c>
      <c r="J2" s="21" t="n">
        <v>543.68</v>
      </c>
      <c r="K2" s="21" t="n">
        <v>563.56</v>
      </c>
      <c r="L2" s="21" t="n">
        <v>554.51</v>
      </c>
      <c r="M2" s="21" t="n">
        <v>561.87</v>
      </c>
      <c r="N2" s="21" t="n">
        <v>549.43</v>
      </c>
      <c r="O2" s="21" t="n">
        <v>654.61</v>
      </c>
      <c r="P2" s="22" t="n">
        <f aca="false">IF(COUNT(D2:O2)=0,"",IF(IFERROR(INDEX(Справочник_KPI!$G:$G,MATCH($A2,Справочник_KPI!$A:$A,0)),"")="sum",SUM(D2:O2),IF(IFERROR(INDEX(Справочник_KPI!$G:$G,MATCH($A2,Справочник_KPI!$A:$A,0)),"")="last",INDEX(D2:O2,COUNT(D2:O2)),AVERAGE(D2:O2))))</f>
        <v>6425.06</v>
      </c>
    </row>
    <row r="3" customFormat="false" ht="15" hidden="false" customHeight="false" outlineLevel="0" collapsed="false">
      <c r="A3" s="13" t="s">
        <v>82</v>
      </c>
      <c r="B3" s="20" t="str">
        <f aca="false">IFERROR(INDEX(Справочник_KPI!$D:$D,MATCH($A3,Справочник_KPI!$A:$A,0)),"нет в справочнике")</f>
        <v>Валовая прибыль</v>
      </c>
      <c r="C3" s="20" t="str">
        <f aca="false">IFERROR(INDEX(Справочник_KPI!$E:$E,MATCH($A3,Справочник_KPI!$A:$A,0)),"")</f>
        <v>млн грн</v>
      </c>
      <c r="D3" s="21" t="n">
        <v>92.67</v>
      </c>
      <c r="E3" s="21" t="n">
        <v>89.92</v>
      </c>
      <c r="F3" s="21" t="n">
        <v>103.68</v>
      </c>
      <c r="G3" s="21" t="n">
        <v>99.43</v>
      </c>
      <c r="H3" s="21" t="n">
        <v>103.14</v>
      </c>
      <c r="I3" s="21" t="n">
        <v>105.33</v>
      </c>
      <c r="J3" s="21" t="n">
        <v>110.95</v>
      </c>
      <c r="K3" s="21" t="n">
        <v>110.56</v>
      </c>
      <c r="L3" s="21" t="n">
        <v>106.02</v>
      </c>
      <c r="M3" s="21" t="n">
        <v>111.62</v>
      </c>
      <c r="N3" s="21" t="n">
        <v>109.46</v>
      </c>
      <c r="O3" s="21" t="n">
        <v>124.85</v>
      </c>
      <c r="P3" s="22" t="n">
        <f aca="false">IF(COUNT(D3:O3)=0,"",IF(IFERROR(INDEX(Справочник_KPI!$G:$G,MATCH($A3,Справочник_KPI!$A:$A,0)),"")="sum",SUM(D3:O3),IF(IFERROR(INDEX(Справочник_KPI!$G:$G,MATCH($A3,Справочник_KPI!$A:$A,0)),"")="last",INDEX(D3:O3,COUNT(D3:O3)),AVERAGE(D3:O3))))</f>
        <v>1267.63</v>
      </c>
    </row>
    <row r="4" customFormat="false" ht="15" hidden="false" customHeight="false" outlineLevel="0" collapsed="false">
      <c r="A4" s="13" t="s">
        <v>98</v>
      </c>
      <c r="B4" s="20" t="str">
        <f aca="false">IFERROR(INDEX(Справочник_KPI!$D:$D,MATCH($A4,Справочник_KPI!$A:$A,0)),"нет в справочнике")</f>
        <v>Операционные расходы (OPEX)</v>
      </c>
      <c r="C4" s="20" t="str">
        <f aca="false">IFERROR(INDEX(Справочник_KPI!$E:$E,MATCH($A4,Справочник_KPI!$A:$A,0)),"")</f>
        <v>млн грн</v>
      </c>
      <c r="D4" s="21" t="n">
        <v>66.17</v>
      </c>
      <c r="E4" s="21" t="n">
        <v>66.45</v>
      </c>
      <c r="F4" s="21" t="n">
        <v>77.36</v>
      </c>
      <c r="G4" s="21" t="n">
        <v>73.67</v>
      </c>
      <c r="H4" s="21" t="n">
        <v>78.01</v>
      </c>
      <c r="I4" s="21" t="n">
        <v>76.82</v>
      </c>
      <c r="J4" s="21" t="n">
        <v>81.7</v>
      </c>
      <c r="K4" s="21" t="n">
        <v>83.13</v>
      </c>
      <c r="L4" s="21" t="n">
        <v>79.36</v>
      </c>
      <c r="M4" s="21" t="n">
        <v>83.67</v>
      </c>
      <c r="N4" s="21" t="n">
        <v>79.98</v>
      </c>
      <c r="O4" s="21" t="n">
        <v>94.21</v>
      </c>
      <c r="P4" s="22" t="n">
        <f aca="false">IF(COUNT(D4:O4)=0,"",IF(IFERROR(INDEX(Справочник_KPI!$G:$G,MATCH($A4,Справочник_KPI!$A:$A,0)),"")="sum",SUM(D4:O4),IF(IFERROR(INDEX(Справочник_KPI!$G:$G,MATCH($A4,Справочник_KPI!$A:$A,0)),"")="last",INDEX(D4:O4,COUNT(D4:O4)),AVERAGE(D4:O4))))</f>
        <v>940.53</v>
      </c>
    </row>
    <row r="5" customFormat="false" ht="15" hidden="false" customHeight="false" outlineLevel="0" collapsed="false">
      <c r="A5" s="13" t="s">
        <v>123</v>
      </c>
      <c r="B5" s="20" t="str">
        <f aca="false">IFERROR(INDEX(Справочник_KPI!$D:$D,MATCH($A5,Справочник_KPI!$A:$A,0)),"нет в справочнике")</f>
        <v>Логистика и склад (служебный)</v>
      </c>
      <c r="C5" s="20" t="str">
        <f aca="false">IFERROR(INDEX(Справочник_KPI!$E:$E,MATCH($A5,Справочник_KPI!$A:$A,0)),"")</f>
        <v>млн грн</v>
      </c>
      <c r="D5" s="21" t="n">
        <v>19.58</v>
      </c>
      <c r="E5" s="21" t="n">
        <v>19.71</v>
      </c>
      <c r="F5" s="21" t="n">
        <v>22.26</v>
      </c>
      <c r="G5" s="21" t="n">
        <v>21.29</v>
      </c>
      <c r="H5" s="21" t="n">
        <v>22.23</v>
      </c>
      <c r="I5" s="21" t="n">
        <v>22.88</v>
      </c>
      <c r="J5" s="21" t="n">
        <v>22.52</v>
      </c>
      <c r="K5" s="21" t="n">
        <v>23.4</v>
      </c>
      <c r="L5" s="21" t="n">
        <v>22.2</v>
      </c>
      <c r="M5" s="21" t="n">
        <v>22.92</v>
      </c>
      <c r="N5" s="21" t="n">
        <v>22.57</v>
      </c>
      <c r="O5" s="21" t="n">
        <v>27.13</v>
      </c>
      <c r="P5" s="22" t="n">
        <f aca="false">IF(COUNT(D5:O5)=0,"",IF(IFERROR(INDEX(Справочник_KPI!$G:$G,MATCH($A5,Справочник_KPI!$A:$A,0)),"")="sum",SUM(D5:O5),IF(IFERROR(INDEX(Справочник_KPI!$G:$G,MATCH($A5,Справочник_KPI!$A:$A,0)),"")="last",INDEX(D5:O5,COUNT(D5:O5)),AVERAGE(D5:O5))))</f>
        <v>268.69</v>
      </c>
    </row>
    <row r="6" customFormat="false" ht="15" hidden="false" customHeight="false" outlineLevel="0" collapsed="false">
      <c r="A6" s="13" t="s">
        <v>133</v>
      </c>
      <c r="B6" s="20" t="str">
        <f aca="false">IFERROR(INDEX(Справочник_KPI!$D:$D,MATCH($A6,Справочник_KPI!$A:$A,0)),"нет в справочнике")</f>
        <v>Операционный денежный поток</v>
      </c>
      <c r="C6" s="20" t="str">
        <f aca="false">IFERROR(INDEX(Справочник_KPI!$E:$E,MATCH($A6,Справочник_KPI!$A:$A,0)),"")</f>
        <v>млн грн</v>
      </c>
      <c r="D6" s="21" t="n">
        <v>16.55</v>
      </c>
      <c r="E6" s="21" t="n">
        <v>15.76</v>
      </c>
      <c r="F6" s="21" t="n">
        <v>18.13</v>
      </c>
      <c r="G6" s="21" t="n">
        <v>17.85</v>
      </c>
      <c r="H6" s="21" t="n">
        <v>19.11</v>
      </c>
      <c r="I6" s="21" t="n">
        <v>19.42</v>
      </c>
      <c r="J6" s="21" t="n">
        <v>18.94</v>
      </c>
      <c r="K6" s="21" t="n">
        <v>19.19</v>
      </c>
      <c r="L6" s="21" t="n">
        <v>18.6</v>
      </c>
      <c r="M6" s="21" t="n">
        <v>19.26</v>
      </c>
      <c r="N6" s="21" t="n">
        <v>19.33</v>
      </c>
      <c r="O6" s="21" t="n">
        <v>22.4</v>
      </c>
      <c r="P6" s="22" t="n">
        <f aca="false">IF(COUNT(D6:O6)=0,"",IF(IFERROR(INDEX(Справочник_KPI!$G:$G,MATCH($A6,Справочник_KPI!$A:$A,0)),"")="sum",SUM(D6:O6),IF(IFERROR(INDEX(Справочник_KPI!$G:$G,MATCH($A6,Справочник_KPI!$A:$A,0)),"")="last",INDEX(D6:O6,COUNT(D6:O6)),AVERAGE(D6:O6))))</f>
        <v>224.54</v>
      </c>
    </row>
    <row r="7" customFormat="false" ht="15" hidden="false" customHeight="false" outlineLevel="0" collapsed="false">
      <c r="A7" s="13" t="s">
        <v>139</v>
      </c>
      <c r="B7" s="20" t="str">
        <f aca="false">IFERROR(INDEX(Справочник_KPI!$D:$D,MATCH($A7,Справочник_KPI!$A:$A,0)),"нет в справочнике")</f>
        <v>Остаток денежных средств</v>
      </c>
      <c r="C7" s="20" t="str">
        <f aca="false">IFERROR(INDEX(Справочник_KPI!$E:$E,MATCH($A7,Справочник_KPI!$A:$A,0)),"")</f>
        <v>млн грн</v>
      </c>
      <c r="D7" s="21" t="n">
        <v>144.19</v>
      </c>
      <c r="E7" s="21" t="n">
        <v>143.95</v>
      </c>
      <c r="F7" s="21" t="n">
        <v>149.07</v>
      </c>
      <c r="G7" s="21" t="n">
        <v>143.16</v>
      </c>
      <c r="H7" s="21" t="n">
        <v>145.85</v>
      </c>
      <c r="I7" s="21" t="n">
        <v>143.17</v>
      </c>
      <c r="J7" s="21" t="n">
        <v>152.71</v>
      </c>
      <c r="K7" s="21" t="n">
        <v>154.54</v>
      </c>
      <c r="L7" s="21" t="n">
        <v>156.35</v>
      </c>
      <c r="M7" s="21" t="n">
        <v>144.47</v>
      </c>
      <c r="N7" s="21" t="n">
        <v>153.46</v>
      </c>
      <c r="O7" s="21" t="n">
        <v>152.56</v>
      </c>
      <c r="P7" s="22" t="n">
        <f aca="false">IF(COUNT(D7:O7)=0,"",IF(IFERROR(INDEX(Справочник_KPI!$G:$G,MATCH($A7,Справочник_KPI!$A:$A,0)),"")="sum",SUM(D7:O7),IF(IFERROR(INDEX(Справочник_KPI!$G:$G,MATCH($A7,Справочник_KPI!$A:$A,0)),"")="last",INDEX(D7:O7,COUNT(D7:O7)),AVERAGE(D7:O7))))</f>
        <v>152.56</v>
      </c>
    </row>
    <row r="8" customFormat="false" ht="15" hidden="false" customHeight="false" outlineLevel="0" collapsed="false">
      <c r="A8" s="13" t="s">
        <v>146</v>
      </c>
      <c r="B8" s="20" t="str">
        <f aca="false">IFERROR(INDEX(Справочник_KPI!$D:$D,MATCH($A8,Справочник_KPI!$A:$A,0)),"нет в справочнике")</f>
        <v>Оборачиваемость ДЗ (DSO)</v>
      </c>
      <c r="C8" s="20" t="str">
        <f aca="false">IFERROR(INDEX(Справочник_KPI!$E:$E,MATCH($A8,Справочник_KPI!$A:$A,0)),"")</f>
        <v>дни</v>
      </c>
      <c r="D8" s="21" t="n">
        <v>29.09</v>
      </c>
      <c r="E8" s="21" t="n">
        <v>29.42</v>
      </c>
      <c r="F8" s="21" t="n">
        <v>29.52</v>
      </c>
      <c r="G8" s="21" t="n">
        <v>29.31</v>
      </c>
      <c r="H8" s="21" t="n">
        <v>29.13</v>
      </c>
      <c r="I8" s="21" t="n">
        <v>29.28</v>
      </c>
      <c r="J8" s="21" t="n">
        <v>29.77</v>
      </c>
      <c r="K8" s="21" t="n">
        <v>28.92</v>
      </c>
      <c r="L8" s="21" t="n">
        <v>29.56</v>
      </c>
      <c r="M8" s="21" t="n">
        <v>29.43</v>
      </c>
      <c r="N8" s="21" t="n">
        <v>28.92</v>
      </c>
      <c r="O8" s="21" t="n">
        <v>29.3</v>
      </c>
      <c r="P8" s="22" t="n">
        <f aca="false">IF(COUNT(D8:O8)=0,"",IF(IFERROR(INDEX(Справочник_KPI!$G:$G,MATCH($A8,Справочник_KPI!$A:$A,0)),"")="sum",SUM(D8:O8),IF(IFERROR(INDEX(Справочник_KPI!$G:$G,MATCH($A8,Справочник_KPI!$A:$A,0)),"")="last",INDEX(D8:O8,COUNT(D8:O8)),AVERAGE(D8:O8))))</f>
        <v>29.3</v>
      </c>
    </row>
    <row r="9" customFormat="false" ht="15" hidden="false" customHeight="false" outlineLevel="0" collapsed="false">
      <c r="A9" s="13" t="s">
        <v>153</v>
      </c>
      <c r="B9" s="20" t="str">
        <f aca="false">IFERROR(INDEX(Справочник_KPI!$D:$D,MATCH($A9,Справочник_KPI!$A:$A,0)),"нет в справочнике")</f>
        <v>Просроченная ДЗ, % от ДЗ</v>
      </c>
      <c r="C9" s="20" t="str">
        <f aca="false">IFERROR(INDEX(Справочник_KPI!$E:$E,MATCH($A9,Справочник_KPI!$A:$A,0)),"")</f>
        <v>%</v>
      </c>
      <c r="D9" s="21" t="n">
        <v>6.57</v>
      </c>
      <c r="E9" s="21" t="n">
        <v>6.26</v>
      </c>
      <c r="F9" s="21" t="n">
        <v>6.18</v>
      </c>
      <c r="G9" s="21" t="n">
        <v>6.35</v>
      </c>
      <c r="H9" s="21" t="n">
        <v>6.65</v>
      </c>
      <c r="I9" s="21" t="n">
        <v>6.59</v>
      </c>
      <c r="J9" s="21" t="n">
        <v>6.26</v>
      </c>
      <c r="K9" s="21" t="n">
        <v>6.19</v>
      </c>
      <c r="L9" s="21" t="n">
        <v>6.65</v>
      </c>
      <c r="M9" s="21" t="n">
        <v>6.44</v>
      </c>
      <c r="N9" s="21" t="n">
        <v>6.52</v>
      </c>
      <c r="O9" s="21" t="n">
        <v>6.15</v>
      </c>
      <c r="P9" s="22" t="n">
        <f aca="false">IF(COUNT(D9:O9)=0,"",IF(IFERROR(INDEX(Справочник_KPI!$G:$G,MATCH($A9,Справочник_KPI!$A:$A,0)),"")="sum",SUM(D9:O9),IF(IFERROR(INDEX(Справочник_KPI!$G:$G,MATCH($A9,Справочник_KPI!$A:$A,0)),"")="last",INDEX(D9:O9,COUNT(D9:O9)),AVERAGE(D9:O9))))</f>
        <v>6.15</v>
      </c>
    </row>
    <row r="10" customFormat="false" ht="15" hidden="false" customHeight="false" outlineLevel="0" collapsed="false">
      <c r="A10" s="13" t="s">
        <v>159</v>
      </c>
      <c r="B10" s="20" t="str">
        <f aca="false">IFERROR(INDEX(Справочник_KPI!$D:$D,MATCH($A10,Справочник_KPI!$A:$A,0)),"нет в справочнике")</f>
        <v>Запас в днях (DIO)</v>
      </c>
      <c r="C10" s="20" t="str">
        <f aca="false">IFERROR(INDEX(Справочник_KPI!$E:$E,MATCH($A10,Справочник_KPI!$A:$A,0)),"")</f>
        <v>дни</v>
      </c>
      <c r="D10" s="21" t="n">
        <v>33.67</v>
      </c>
      <c r="E10" s="21" t="n">
        <v>34.46</v>
      </c>
      <c r="F10" s="21" t="n">
        <v>34.05</v>
      </c>
      <c r="G10" s="21" t="n">
        <v>33.94</v>
      </c>
      <c r="H10" s="21" t="n">
        <v>34.15</v>
      </c>
      <c r="I10" s="21" t="n">
        <v>34.53</v>
      </c>
      <c r="J10" s="21" t="n">
        <v>33.87</v>
      </c>
      <c r="K10" s="21" t="n">
        <v>33.73</v>
      </c>
      <c r="L10" s="21" t="n">
        <v>34.13</v>
      </c>
      <c r="M10" s="21" t="n">
        <v>33.84</v>
      </c>
      <c r="N10" s="21" t="n">
        <v>33.71</v>
      </c>
      <c r="O10" s="21" t="n">
        <v>33.76</v>
      </c>
      <c r="P10" s="22" t="n">
        <f aca="false">IF(COUNT(D10:O10)=0,"",IF(IFERROR(INDEX(Справочник_KPI!$G:$G,MATCH($A10,Справочник_KPI!$A:$A,0)),"")="sum",SUM(D10:O10),IF(IFERROR(INDEX(Справочник_KPI!$G:$G,MATCH($A10,Справочник_KPI!$A:$A,0)),"")="last",INDEX(D10:O10,COUNT(D10:O10)),AVERAGE(D10:O10))))</f>
        <v>33.76</v>
      </c>
    </row>
    <row r="11" customFormat="false" ht="15" hidden="false" customHeight="false" outlineLevel="0" collapsed="false">
      <c r="A11" s="13" t="s">
        <v>167</v>
      </c>
      <c r="B11" s="20" t="str">
        <f aca="false">IFERROR(INDEX(Справочник_KPI!$D:$D,MATCH($A11,Справочник_KPI!$A:$A,0)),"нет в справочнике")</f>
        <v>Отсрочка поставщикам (DPO)</v>
      </c>
      <c r="C11" s="20" t="str">
        <f aca="false">IFERROR(INDEX(Справочник_KPI!$E:$E,MATCH($A11,Справочник_KPI!$A:$A,0)),"")</f>
        <v>дни</v>
      </c>
      <c r="D11" s="21" t="n">
        <v>42.52</v>
      </c>
      <c r="E11" s="21" t="n">
        <v>42.75</v>
      </c>
      <c r="F11" s="21" t="n">
        <v>42.52</v>
      </c>
      <c r="G11" s="21" t="n">
        <v>43.23</v>
      </c>
      <c r="H11" s="21" t="n">
        <v>43.05</v>
      </c>
      <c r="I11" s="21" t="n">
        <v>42.69</v>
      </c>
      <c r="J11" s="21" t="n">
        <v>42.97</v>
      </c>
      <c r="K11" s="21" t="n">
        <v>43.43</v>
      </c>
      <c r="L11" s="21" t="n">
        <v>42.61</v>
      </c>
      <c r="M11" s="21" t="n">
        <v>43.32</v>
      </c>
      <c r="N11" s="21" t="n">
        <v>42.93</v>
      </c>
      <c r="O11" s="21" t="n">
        <v>43</v>
      </c>
      <c r="P11" s="22" t="n">
        <f aca="false">IF(COUNT(D11:O11)=0,"",IF(IFERROR(INDEX(Справочник_KPI!$G:$G,MATCH($A11,Справочник_KPI!$A:$A,0)),"")="sum",SUM(D11:O11),IF(IFERROR(INDEX(Справочник_KPI!$G:$G,MATCH($A11,Справочник_KPI!$A:$A,0)),"")="last",INDEX(D11:O11,COUNT(D11:O11)),AVERAGE(D11:O11))))</f>
        <v>43</v>
      </c>
    </row>
    <row r="12" customFormat="false" ht="15" hidden="false" customHeight="false" outlineLevel="0" collapsed="false">
      <c r="A12" s="13" t="s">
        <v>177</v>
      </c>
      <c r="B12" s="20" t="str">
        <f aca="false">IFERROR(INDEX(Справочник_KPI!$D:$D,MATCH($A12,Справочник_KPI!$A:$A,0)),"нет в справочнике")</f>
        <v>Чистый долг / EBITDA</v>
      </c>
      <c r="C12" s="20" t="str">
        <f aca="false">IFERROR(INDEX(Справочник_KPI!$E:$E,MATCH($A12,Справочник_KPI!$A:$A,0)),"")</f>
        <v>x</v>
      </c>
      <c r="D12" s="21" t="n">
        <v>1.39</v>
      </c>
      <c r="E12" s="21" t="n">
        <v>1.39</v>
      </c>
      <c r="F12" s="21" t="n">
        <v>1.37</v>
      </c>
      <c r="G12" s="21" t="n">
        <v>1.38</v>
      </c>
      <c r="H12" s="21" t="n">
        <v>1.37</v>
      </c>
      <c r="I12" s="21" t="n">
        <v>1.41</v>
      </c>
      <c r="J12" s="21" t="n">
        <v>1.39</v>
      </c>
      <c r="K12" s="21" t="n">
        <v>1.38</v>
      </c>
      <c r="L12" s="21" t="n">
        <v>1.38</v>
      </c>
      <c r="M12" s="21" t="n">
        <v>1.42</v>
      </c>
      <c r="N12" s="21" t="n">
        <v>1.42</v>
      </c>
      <c r="O12" s="21" t="n">
        <v>1.41</v>
      </c>
      <c r="P12" s="22" t="n">
        <f aca="false">IF(COUNT(D12:O12)=0,"",IF(IFERROR(INDEX(Справочник_KPI!$G:$G,MATCH($A12,Справочник_KPI!$A:$A,0)),"")="sum",SUM(D12:O12),IF(IFERROR(INDEX(Справочник_KPI!$G:$G,MATCH($A12,Справочник_KPI!$A:$A,0)),"")="last",INDEX(D12:O12,COUNT(D12:O12)),AVERAGE(D12:O12))))</f>
        <v>1.41</v>
      </c>
    </row>
    <row r="13" customFormat="false" ht="15" hidden="false" customHeight="false" outlineLevel="0" collapsed="false">
      <c r="A13" s="13" t="s">
        <v>185</v>
      </c>
      <c r="B13" s="20" t="str">
        <f aca="false">IFERROR(INDEX(Справочник_KPI!$D:$D,MATCH($A13,Справочник_KPI!$A:$A,0)),"нет в справочнике")</f>
        <v>Средняя ставка по кредитам</v>
      </c>
      <c r="C13" s="20" t="str">
        <f aca="false">IFERROR(INDEX(Справочник_KPI!$E:$E,MATCH($A13,Справочник_KPI!$A:$A,0)),"")</f>
        <v>%</v>
      </c>
      <c r="D13" s="21" t="n">
        <v>17.21</v>
      </c>
      <c r="E13" s="21" t="n">
        <v>17.15</v>
      </c>
      <c r="F13" s="21" t="n">
        <v>17.29</v>
      </c>
      <c r="G13" s="21" t="n">
        <v>17.16</v>
      </c>
      <c r="H13" s="21" t="n">
        <v>17.17</v>
      </c>
      <c r="I13" s="21" t="n">
        <v>17.1</v>
      </c>
      <c r="J13" s="21" t="n">
        <v>17.18</v>
      </c>
      <c r="K13" s="21" t="n">
        <v>17.19</v>
      </c>
      <c r="L13" s="21" t="n">
        <v>17.2</v>
      </c>
      <c r="M13" s="21" t="n">
        <v>17.14</v>
      </c>
      <c r="N13" s="21" t="n">
        <v>17.2</v>
      </c>
      <c r="O13" s="21" t="n">
        <v>17.1</v>
      </c>
      <c r="P13" s="22" t="n">
        <f aca="false">IF(COUNT(D13:O13)=0,"",IF(IFERROR(INDEX(Справочник_KPI!$G:$G,MATCH($A13,Справочник_KPI!$A:$A,0)),"")="sum",SUM(D13:O13),IF(IFERROR(INDEX(Справочник_KPI!$G:$G,MATCH($A13,Справочник_KPI!$A:$A,0)),"")="last",INDEX(D13:O13,COUNT(D13:O13)),AVERAGE(D13:O13))))</f>
        <v>17.1</v>
      </c>
    </row>
    <row r="14" customFormat="false" ht="15" hidden="false" customHeight="false" outlineLevel="0" collapsed="false">
      <c r="A14" s="13" t="s">
        <v>190</v>
      </c>
      <c r="B14" s="20" t="str">
        <f aca="false">IFERROR(INDEX(Справочник_KPI!$D:$D,MATCH($A14,Справочник_KPI!$A:$A,0)),"нет в справочнике")</f>
        <v>ROIC (годовой)</v>
      </c>
      <c r="C14" s="20" t="str">
        <f aca="false">IFERROR(INDEX(Справочник_KPI!$E:$E,MATCH($A14,Справочник_KPI!$A:$A,0)),"")</f>
        <v>%</v>
      </c>
      <c r="D14" s="21" t="n">
        <v>21.65</v>
      </c>
      <c r="E14" s="21" t="n">
        <v>21.59</v>
      </c>
      <c r="F14" s="21" t="n">
        <v>21.63</v>
      </c>
      <c r="G14" s="21" t="n">
        <v>21.73</v>
      </c>
      <c r="H14" s="21" t="n">
        <v>21.43</v>
      </c>
      <c r="I14" s="21" t="n">
        <v>21.4</v>
      </c>
      <c r="J14" s="21" t="n">
        <v>21.79</v>
      </c>
      <c r="K14" s="21" t="n">
        <v>21.29</v>
      </c>
      <c r="L14" s="21" t="n">
        <v>21.63</v>
      </c>
      <c r="M14" s="21" t="n">
        <v>21.59</v>
      </c>
      <c r="N14" s="21" t="n">
        <v>21.23</v>
      </c>
      <c r="O14" s="21" t="n">
        <v>21.7</v>
      </c>
      <c r="P14" s="22" t="n">
        <f aca="false">IF(COUNT(D14:O14)=0,"",IF(IFERROR(INDEX(Справочник_KPI!$G:$G,MATCH($A14,Справочник_KPI!$A:$A,0)),"")="sum",SUM(D14:O14),IF(IFERROR(INDEX(Справочник_KPI!$G:$G,MATCH($A14,Справочник_KPI!$A:$A,0)),"")="last",INDEX(D14:O14,COUNT(D14:O14)),AVERAGE(D14:O14))))</f>
        <v>21.7</v>
      </c>
    </row>
    <row r="15" customFormat="false" ht="15" hidden="false" customHeight="false" outlineLevel="0" collapsed="false">
      <c r="A15" s="13" t="s">
        <v>196</v>
      </c>
      <c r="B15" s="20" t="str">
        <f aca="false">IFERROR(INDEX(Справочник_KPI!$D:$D,MATCH($A15,Справочник_KPI!$A:$A,0)),"нет в справочнике")</f>
        <v>Доля рынка в ключевых категориях</v>
      </c>
      <c r="C15" s="20" t="str">
        <f aca="false">IFERROR(INDEX(Справочник_KPI!$E:$E,MATCH($A15,Справочник_KPI!$A:$A,0)),"")</f>
        <v>%</v>
      </c>
      <c r="D15" s="21" t="n">
        <v>13.17</v>
      </c>
      <c r="E15" s="21" t="n">
        <v>13.12</v>
      </c>
      <c r="F15" s="21" t="n">
        <v>13.18</v>
      </c>
      <c r="G15" s="21" t="n">
        <v>13.14</v>
      </c>
      <c r="H15" s="21" t="n">
        <v>13.14</v>
      </c>
      <c r="I15" s="21" t="n">
        <v>13.05</v>
      </c>
      <c r="J15" s="21" t="n">
        <v>13.01</v>
      </c>
      <c r="K15" s="21" t="n">
        <v>13.03</v>
      </c>
      <c r="L15" s="21" t="n">
        <v>13.07</v>
      </c>
      <c r="M15" s="21" t="n">
        <v>13.02</v>
      </c>
      <c r="N15" s="21" t="n">
        <v>13.17</v>
      </c>
      <c r="O15" s="21" t="n">
        <v>13.11</v>
      </c>
      <c r="P15" s="22" t="n">
        <f aca="false">IF(COUNT(D15:O15)=0,"",IF(IFERROR(INDEX(Справочник_KPI!$G:$G,MATCH($A15,Справочник_KPI!$A:$A,0)),"")="sum",SUM(D15:O15),IF(IFERROR(INDEX(Справочник_KPI!$G:$G,MATCH($A15,Справочник_KPI!$A:$A,0)),"")="last",INDEX(D15:O15,COUNT(D15:O15)),AVERAGE(D15:O15))))</f>
        <v>13.11</v>
      </c>
    </row>
    <row r="16" customFormat="false" ht="15" hidden="false" customHeight="false" outlineLevel="0" collapsed="false">
      <c r="A16" s="13" t="s">
        <v>203</v>
      </c>
      <c r="B16" s="20" t="str">
        <f aca="false">IFERROR(INDEX(Справочник_KPI!$D:$D,MATCH($A16,Справочник_KPI!$A:$A,0)),"нет в справочнике")</f>
        <v>АКБ (активные ТТ, 30 дней)</v>
      </c>
      <c r="C16" s="20" t="str">
        <f aca="false">IFERROR(INDEX(Справочник_KPI!$E:$E,MATCH($A16,Справочник_KPI!$A:$A,0)),"")</f>
        <v>ТТ</v>
      </c>
      <c r="D16" s="23" t="n">
        <v>17238</v>
      </c>
      <c r="E16" s="23" t="n">
        <v>17096</v>
      </c>
      <c r="F16" s="23" t="n">
        <v>17257</v>
      </c>
      <c r="G16" s="23" t="n">
        <v>17141</v>
      </c>
      <c r="H16" s="23" t="n">
        <v>17098</v>
      </c>
      <c r="I16" s="23" t="n">
        <v>17144</v>
      </c>
      <c r="J16" s="23" t="n">
        <v>17255</v>
      </c>
      <c r="K16" s="23" t="n">
        <v>17129</v>
      </c>
      <c r="L16" s="23" t="n">
        <v>17258</v>
      </c>
      <c r="M16" s="23" t="n">
        <v>17314</v>
      </c>
      <c r="N16" s="23" t="n">
        <v>17199</v>
      </c>
      <c r="O16" s="23" t="n">
        <v>17172</v>
      </c>
      <c r="P16" s="22" t="n">
        <f aca="false">IF(COUNT(D16:O16)=0,"",IF(IFERROR(INDEX(Справочник_KPI!$G:$G,MATCH($A16,Справочник_KPI!$A:$A,0)),"")="sum",SUM(D16:O16),IF(IFERROR(INDEX(Справочник_KPI!$G:$G,MATCH($A16,Справочник_KPI!$A:$A,0)),"")="last",INDEX(D16:O16,COUNT(D16:O16)),AVERAGE(D16:O16))))</f>
        <v>17172</v>
      </c>
    </row>
    <row r="17" customFormat="false" ht="15" hidden="false" customHeight="false" outlineLevel="0" collapsed="false">
      <c r="A17" s="13" t="s">
        <v>211</v>
      </c>
      <c r="B17" s="20" t="str">
        <f aca="false">IFERROR(INDEX(Справочник_KPI!$D:$D,MATCH($A17,Справочник_KPI!$A:$A,0)),"нет в справочнике")</f>
        <v>Численность персонала</v>
      </c>
      <c r="C17" s="20" t="str">
        <f aca="false">IFERROR(INDEX(Справочник_KPI!$E:$E,MATCH($A17,Справочник_KPI!$A:$A,0)),"")</f>
        <v>чел</v>
      </c>
      <c r="D17" s="23" t="n">
        <v>967</v>
      </c>
      <c r="E17" s="23" t="n">
        <v>968</v>
      </c>
      <c r="F17" s="23" t="n">
        <v>965</v>
      </c>
      <c r="G17" s="23" t="n">
        <v>965</v>
      </c>
      <c r="H17" s="23" t="n">
        <v>967</v>
      </c>
      <c r="I17" s="23" t="n">
        <v>969</v>
      </c>
      <c r="J17" s="23" t="n">
        <v>969</v>
      </c>
      <c r="K17" s="23" t="n">
        <v>969</v>
      </c>
      <c r="L17" s="23" t="n">
        <v>967</v>
      </c>
      <c r="M17" s="23" t="n">
        <v>968</v>
      </c>
      <c r="N17" s="23" t="n">
        <v>968</v>
      </c>
      <c r="O17" s="23" t="n">
        <v>968</v>
      </c>
      <c r="P17" s="22" t="n">
        <f aca="false">IF(COUNT(D17:O17)=0,"",IF(IFERROR(INDEX(Справочник_KPI!$G:$G,MATCH($A17,Справочник_KPI!$A:$A,0)),"")="sum",SUM(D17:O17),IF(IFERROR(INDEX(Справочник_KPI!$G:$G,MATCH($A17,Справочник_KPI!$A:$A,0)),"")="last",INDEX(D17:O17,COUNT(D17:O17)),AVERAGE(D17:O17))))</f>
        <v>968</v>
      </c>
    </row>
    <row r="18" customFormat="false" ht="15" hidden="false" customHeight="false" outlineLevel="0" collapsed="false">
      <c r="A18" s="13" t="s">
        <v>219</v>
      </c>
      <c r="B18" s="20" t="str">
        <f aca="false">IFERROR(INDEX(Справочник_KPI!$D:$D,MATCH($A18,Справочник_KPI!$A:$A,0)),"нет в справочнике")</f>
        <v>Текучесть персонала (12 мес)</v>
      </c>
      <c r="C18" s="20" t="str">
        <f aca="false">IFERROR(INDEX(Справочник_KPI!$E:$E,MATCH($A18,Справочник_KPI!$A:$A,0)),"")</f>
        <v>%</v>
      </c>
      <c r="D18" s="21" t="n">
        <v>32.96</v>
      </c>
      <c r="E18" s="21" t="n">
        <v>32.81</v>
      </c>
      <c r="F18" s="21" t="n">
        <v>32.77</v>
      </c>
      <c r="G18" s="21" t="n">
        <v>33.36</v>
      </c>
      <c r="H18" s="21" t="n">
        <v>32.77</v>
      </c>
      <c r="I18" s="21" t="n">
        <v>33.07</v>
      </c>
      <c r="J18" s="21" t="n">
        <v>32.71</v>
      </c>
      <c r="K18" s="21" t="n">
        <v>33.02</v>
      </c>
      <c r="L18" s="21" t="n">
        <v>33.36</v>
      </c>
      <c r="M18" s="21" t="n">
        <v>32.71</v>
      </c>
      <c r="N18" s="21" t="n">
        <v>33.26</v>
      </c>
      <c r="O18" s="21" t="n">
        <v>33.01</v>
      </c>
      <c r="P18" s="22" t="n">
        <f aca="false">IF(COUNT(D18:O18)=0,"",IF(IFERROR(INDEX(Справочник_KPI!$G:$G,MATCH($A18,Справочник_KPI!$A:$A,0)),"")="sum",SUM(D18:O18),IF(IFERROR(INDEX(Справочник_KPI!$G:$G,MATCH($A18,Справочник_KPI!$A:$A,0)),"")="last",INDEX(D18:O18,COUNT(D18:O18)),AVERAGE(D18:O18))))</f>
        <v>33.01</v>
      </c>
    </row>
    <row r="19" customFormat="false" ht="15" hidden="false" customHeight="false" outlineLevel="0" collapsed="false">
      <c r="A19" s="13" t="s">
        <v>229</v>
      </c>
      <c r="B19" s="20" t="str">
        <f aca="false">IFERROR(INDEX(Справочник_KPI!$D:$D,MATCH($A19,Справочник_KPI!$A:$A,0)),"нет в справочнике")</f>
        <v>Объём отгрузок</v>
      </c>
      <c r="C19" s="20" t="str">
        <f aca="false">IFERROR(INDEX(Справочник_KPI!$E:$E,MATCH($A19,Справочник_KPI!$A:$A,0)),"")</f>
        <v>т</v>
      </c>
      <c r="D19" s="23" t="n">
        <v>7536</v>
      </c>
      <c r="E19" s="23" t="n">
        <v>7157</v>
      </c>
      <c r="F19" s="23" t="n">
        <v>8590</v>
      </c>
      <c r="G19" s="23" t="n">
        <v>8425</v>
      </c>
      <c r="H19" s="23" t="n">
        <v>8790</v>
      </c>
      <c r="I19" s="23" t="n">
        <v>8855</v>
      </c>
      <c r="J19" s="23" t="n">
        <v>8850</v>
      </c>
      <c r="K19" s="23" t="n">
        <v>8956</v>
      </c>
      <c r="L19" s="23" t="n">
        <v>8493</v>
      </c>
      <c r="M19" s="23" t="n">
        <v>9083</v>
      </c>
      <c r="N19" s="23" t="n">
        <v>8673</v>
      </c>
      <c r="O19" s="23" t="n">
        <v>9987</v>
      </c>
      <c r="P19" s="22" t="n">
        <f aca="false">IF(COUNT(D19:O19)=0,"",IF(IFERROR(INDEX(Справочник_KPI!$G:$G,MATCH($A19,Справочник_KPI!$A:$A,0)),"")="sum",SUM(D19:O19),IF(IFERROR(INDEX(Справочник_KPI!$G:$G,MATCH($A19,Справочник_KPI!$A:$A,0)),"")="last",INDEX(D19:O19,COUNT(D19:O19)),AVERAGE(D19:O19))))</f>
        <v>103395</v>
      </c>
    </row>
    <row r="20" customFormat="false" ht="15" hidden="false" customHeight="false" outlineLevel="0" collapsed="false">
      <c r="A20" s="13" t="s">
        <v>236</v>
      </c>
      <c r="B20" s="20" t="str">
        <f aca="false">IFERROR(INDEX(Справочник_KPI!$D:$D,MATCH($A20,Справочник_KPI!$A:$A,0)),"нет в справочнике")</f>
        <v>Новые ТТ</v>
      </c>
      <c r="C20" s="20" t="str">
        <f aca="false">IFERROR(INDEX(Справочник_KPI!$E:$E,MATCH($A20,Справочник_KPI!$A:$A,0)),"")</f>
        <v>ТТ</v>
      </c>
      <c r="D20" s="23" t="n">
        <v>355</v>
      </c>
      <c r="E20" s="23" t="n">
        <v>344</v>
      </c>
      <c r="F20" s="23" t="n">
        <v>382</v>
      </c>
      <c r="G20" s="23" t="n">
        <v>380</v>
      </c>
      <c r="H20" s="23" t="n">
        <v>396</v>
      </c>
      <c r="I20" s="23" t="n">
        <v>402</v>
      </c>
      <c r="J20" s="23" t="n">
        <v>405</v>
      </c>
      <c r="K20" s="23" t="n">
        <v>428</v>
      </c>
      <c r="L20" s="23" t="n">
        <v>417</v>
      </c>
      <c r="M20" s="23" t="n">
        <v>419</v>
      </c>
      <c r="N20" s="23" t="n">
        <v>414</v>
      </c>
      <c r="O20" s="23" t="n">
        <v>466</v>
      </c>
      <c r="P20" s="22" t="n">
        <f aca="false">IF(COUNT(D20:O20)=0,"",IF(IFERROR(INDEX(Справочник_KPI!$G:$G,MATCH($A20,Справочник_KPI!$A:$A,0)),"")="sum",SUM(D20:O20),IF(IFERROR(INDEX(Справочник_KPI!$G:$G,MATCH($A20,Справочник_KPI!$A:$A,0)),"")="last",INDEX(D20:O20,COUNT(D20:O20)),AVERAGE(D20:O20))))</f>
        <v>4808</v>
      </c>
    </row>
    <row r="21" customFormat="false" ht="15" hidden="false" customHeight="false" outlineLevel="0" collapsed="false">
      <c r="A21" s="13" t="s">
        <v>241</v>
      </c>
      <c r="B21" s="20" t="str">
        <f aca="false">IFERROR(INDEX(Справочник_KPI!$D:$D,MATCH($A21,Справочник_KPI!$A:$A,0)),"нет в справочнике")</f>
        <v>Числовая дистрибуция must-list</v>
      </c>
      <c r="C21" s="20" t="str">
        <f aca="false">IFERROR(INDEX(Справочник_KPI!$E:$E,MATCH($A21,Справочник_KPI!$A:$A,0)),"")</f>
        <v>%</v>
      </c>
      <c r="D21" s="21" t="n">
        <v>79.72</v>
      </c>
      <c r="E21" s="21" t="n">
        <v>79.34</v>
      </c>
      <c r="F21" s="21" t="n">
        <v>79.83</v>
      </c>
      <c r="G21" s="21" t="n">
        <v>79.76</v>
      </c>
      <c r="H21" s="21" t="n">
        <v>81.02</v>
      </c>
      <c r="I21" s="21" t="n">
        <v>79</v>
      </c>
      <c r="J21" s="21" t="n">
        <v>80.8</v>
      </c>
      <c r="K21" s="21" t="n">
        <v>81.01</v>
      </c>
      <c r="L21" s="21" t="n">
        <v>79.29</v>
      </c>
      <c r="M21" s="21" t="n">
        <v>81.22</v>
      </c>
      <c r="N21" s="21" t="n">
        <v>80.71</v>
      </c>
      <c r="O21" s="21" t="n">
        <v>81.16</v>
      </c>
      <c r="P21" s="22" t="n">
        <f aca="false">IF(COUNT(D21:O21)=0,"",IF(IFERROR(INDEX(Справочник_KPI!$G:$G,MATCH($A21,Справочник_KPI!$A:$A,0)),"")="sum",SUM(D21:O21),IF(IFERROR(INDEX(Справочник_KPI!$G:$G,MATCH($A21,Справочник_KPI!$A:$A,0)),"")="last",INDEX(D21:O21,COUNT(D21:O21)),AVERAGE(D21:O21))))</f>
        <v>80.2383333333333</v>
      </c>
    </row>
    <row r="22" customFormat="false" ht="15" hidden="false" customHeight="false" outlineLevel="0" collapsed="false">
      <c r="A22" s="13" t="s">
        <v>247</v>
      </c>
      <c r="B22" s="20" t="str">
        <f aca="false">IFERROR(INDEX(Справочник_KPI!$D:$D,MATCH($A22,Справочник_KPI!$A:$A,0)),"нет в справочнике")</f>
        <v>Количество заказов</v>
      </c>
      <c r="C22" s="20" t="str">
        <f aca="false">IFERROR(INDEX(Справочник_KPI!$E:$E,MATCH($A22,Справочник_KPI!$A:$A,0)),"")</f>
        <v>шт</v>
      </c>
      <c r="D22" s="23" t="n">
        <v>53947</v>
      </c>
      <c r="E22" s="23" t="n">
        <v>51554</v>
      </c>
      <c r="F22" s="23" t="n">
        <v>60635</v>
      </c>
      <c r="G22" s="23" t="n">
        <v>61502</v>
      </c>
      <c r="H22" s="23" t="n">
        <v>63380</v>
      </c>
      <c r="I22" s="23" t="n">
        <v>63514</v>
      </c>
      <c r="J22" s="23" t="n">
        <v>63348</v>
      </c>
      <c r="K22" s="23" t="n">
        <v>64497</v>
      </c>
      <c r="L22" s="23" t="n">
        <v>61521</v>
      </c>
      <c r="M22" s="23" t="n">
        <v>66078</v>
      </c>
      <c r="N22" s="23" t="n">
        <v>64395</v>
      </c>
      <c r="O22" s="23" t="n">
        <v>75224</v>
      </c>
      <c r="P22" s="22" t="n">
        <f aca="false">IF(COUNT(D22:O22)=0,"",IF(IFERROR(INDEX(Справочник_KPI!$G:$G,MATCH($A22,Справочник_KPI!$A:$A,0)),"")="sum",SUM(D22:O22),IF(IFERROR(INDEX(Справочник_KPI!$G:$G,MATCH($A22,Справочник_KPI!$A:$A,0)),"")="last",INDEX(D22:O22,COUNT(D22:O22)),AVERAGE(D22:O22))))</f>
        <v>749595</v>
      </c>
    </row>
    <row r="23" customFormat="false" ht="15" hidden="false" customHeight="false" outlineLevel="0" collapsed="false">
      <c r="A23" s="13" t="s">
        <v>260</v>
      </c>
      <c r="B23" s="20" t="str">
        <f aca="false">IFERROR(INDEX(Справочник_KPI!$D:$D,MATCH($A23,Справочник_KPI!$A:$A,0)),"нет в справочнике")</f>
        <v>Строк (SKU) в заказе</v>
      </c>
      <c r="C23" s="20" t="str">
        <f aca="false">IFERROR(INDEX(Справочник_KPI!$E:$E,MATCH($A23,Справочник_KPI!$A:$A,0)),"")</f>
        <v>шт</v>
      </c>
      <c r="D23" s="21" t="n">
        <v>12.7</v>
      </c>
      <c r="E23" s="21" t="n">
        <v>13.43</v>
      </c>
      <c r="F23" s="21" t="n">
        <v>12.89</v>
      </c>
      <c r="G23" s="21" t="n">
        <v>13.54</v>
      </c>
      <c r="H23" s="21" t="n">
        <v>12.85</v>
      </c>
      <c r="I23" s="21" t="n">
        <v>12.87</v>
      </c>
      <c r="J23" s="21" t="n">
        <v>13.11</v>
      </c>
      <c r="K23" s="21" t="n">
        <v>12.79</v>
      </c>
      <c r="L23" s="21" t="n">
        <v>12.97</v>
      </c>
      <c r="M23" s="21" t="n">
        <v>13.56</v>
      </c>
      <c r="N23" s="21" t="n">
        <v>13.48</v>
      </c>
      <c r="O23" s="21" t="n">
        <v>13.41</v>
      </c>
      <c r="P23" s="22" t="n">
        <f aca="false">IF(COUNT(D23:O23)=0,"",IF(IFERROR(INDEX(Справочник_KPI!$G:$G,MATCH($A23,Справочник_KPI!$A:$A,0)),"")="sum",SUM(D23:O23),IF(IFERROR(INDEX(Справочник_KPI!$G:$G,MATCH($A23,Справочник_KPI!$A:$A,0)),"")="last",INDEX(D23:O23,COUNT(D23:O23)),AVERAGE(D23:O23))))</f>
        <v>13.1333333333333</v>
      </c>
    </row>
    <row r="24" customFormat="false" ht="15" hidden="false" customHeight="false" outlineLevel="0" collapsed="false">
      <c r="A24" s="13" t="s">
        <v>265</v>
      </c>
      <c r="B24" s="20" t="str">
        <f aca="false">IFERROR(INDEX(Справочник_KPI!$D:$D,MATCH($A24,Справочник_KPI!$A:$A,0)),"нет в справочнике")</f>
        <v>Результативность визитов (strike rate)</v>
      </c>
      <c r="C24" s="20" t="str">
        <f aca="false">IFERROR(INDEX(Справочник_KPI!$E:$E,MATCH($A24,Справочник_KPI!$A:$A,0)),"")</f>
        <v>%</v>
      </c>
      <c r="D24" s="21" t="n">
        <v>74.93</v>
      </c>
      <c r="E24" s="21" t="n">
        <v>73.86</v>
      </c>
      <c r="F24" s="21" t="n">
        <v>73.15</v>
      </c>
      <c r="G24" s="21" t="n">
        <v>75.78</v>
      </c>
      <c r="H24" s="21" t="n">
        <v>73.38</v>
      </c>
      <c r="I24" s="21" t="n">
        <v>74.42</v>
      </c>
      <c r="J24" s="21" t="n">
        <v>74.03</v>
      </c>
      <c r="K24" s="21" t="n">
        <v>73.89</v>
      </c>
      <c r="L24" s="21" t="n">
        <v>75.22</v>
      </c>
      <c r="M24" s="21" t="n">
        <v>75.93</v>
      </c>
      <c r="N24" s="21" t="n">
        <v>73.78</v>
      </c>
      <c r="O24" s="21" t="n">
        <v>74.97</v>
      </c>
      <c r="P24" s="22" t="n">
        <f aca="false">IF(COUNT(D24:O24)=0,"",IF(IFERROR(INDEX(Справочник_KPI!$G:$G,MATCH($A24,Справочник_KPI!$A:$A,0)),"")="sum",SUM(D24:O24),IF(IFERROR(INDEX(Справочник_KPI!$G:$G,MATCH($A24,Справочник_KPI!$A:$A,0)),"")="last",INDEX(D24:O24,COUNT(D24:O24)),AVERAGE(D24:O24))))</f>
        <v>74.445</v>
      </c>
    </row>
    <row r="25" customFormat="false" ht="15" hidden="false" customHeight="false" outlineLevel="0" collapsed="false">
      <c r="A25" s="13" t="s">
        <v>270</v>
      </c>
      <c r="B25" s="20" t="str">
        <f aca="false">IFERROR(INDEX(Справочник_KPI!$D:$D,MATCH($A25,Справочник_KPI!$A:$A,0)),"нет в справочнике")</f>
        <v>Выполнение маршрутов ТП</v>
      </c>
      <c r="C25" s="20" t="str">
        <f aca="false">IFERROR(INDEX(Справочник_KPI!$E:$E,MATCH($A25,Справочник_KPI!$A:$A,0)),"")</f>
        <v>%</v>
      </c>
      <c r="D25" s="21" t="n">
        <v>92.49</v>
      </c>
      <c r="E25" s="21" t="n">
        <v>92.6</v>
      </c>
      <c r="F25" s="21" t="n">
        <v>91.94</v>
      </c>
      <c r="G25" s="21" t="n">
        <v>91.57</v>
      </c>
      <c r="H25" s="21" t="n">
        <v>91.63</v>
      </c>
      <c r="I25" s="21" t="n">
        <v>91.51</v>
      </c>
      <c r="J25" s="21" t="n">
        <v>91.81</v>
      </c>
      <c r="K25" s="21" t="n">
        <v>91.51</v>
      </c>
      <c r="L25" s="21" t="n">
        <v>91.69</v>
      </c>
      <c r="M25" s="21" t="n">
        <v>91.71</v>
      </c>
      <c r="N25" s="21" t="n">
        <v>92.08</v>
      </c>
      <c r="O25" s="21" t="n">
        <v>92.46</v>
      </c>
      <c r="P25" s="22" t="n">
        <f aca="false">IF(COUNT(D25:O25)=0,"",IF(IFERROR(INDEX(Справочник_KPI!$G:$G,MATCH($A25,Справочник_KPI!$A:$A,0)),"")="sum",SUM(D25:O25),IF(IFERROR(INDEX(Справочник_KPI!$G:$G,MATCH($A25,Справочник_KPI!$A:$A,0)),"")="last",INDEX(D25:O25,COUNT(D25:O25)),AVERAGE(D25:O25))))</f>
        <v>91.9166666666667</v>
      </c>
    </row>
    <row r="26" customFormat="false" ht="15" hidden="false" customHeight="false" outlineLevel="0" collapsed="false">
      <c r="A26" s="13" t="s">
        <v>275</v>
      </c>
      <c r="B26" s="20" t="str">
        <f aca="false">IFERROR(INDEX(Справочник_KPI!$D:$D,MATCH($A26,Справочник_KPI!$A:$A,0)),"нет в справочнике")</f>
        <v>OTIF клиентам</v>
      </c>
      <c r="C26" s="20" t="str">
        <f aca="false">IFERROR(INDEX(Справочник_KPI!$E:$E,MATCH($A26,Справочник_KPI!$A:$A,0)),"")</f>
        <v>%</v>
      </c>
      <c r="D26" s="21" t="n">
        <v>93.68</v>
      </c>
      <c r="E26" s="21" t="n">
        <v>94.2</v>
      </c>
      <c r="F26" s="21" t="n">
        <v>94.38</v>
      </c>
      <c r="G26" s="21" t="n">
        <v>94.71</v>
      </c>
      <c r="H26" s="21" t="n">
        <v>93.8</v>
      </c>
      <c r="I26" s="21" t="n">
        <v>93.88</v>
      </c>
      <c r="J26" s="21" t="n">
        <v>93.85</v>
      </c>
      <c r="K26" s="21" t="n">
        <v>94.06</v>
      </c>
      <c r="L26" s="21" t="n">
        <v>94.12</v>
      </c>
      <c r="M26" s="21" t="n">
        <v>94.84</v>
      </c>
      <c r="N26" s="21" t="n">
        <v>94.69</v>
      </c>
      <c r="O26" s="21" t="n">
        <v>94.72</v>
      </c>
      <c r="P26" s="22" t="n">
        <f aca="false">IF(COUNT(D26:O26)=0,"",IF(IFERROR(INDEX(Справочник_KPI!$G:$G,MATCH($A26,Справочник_KPI!$A:$A,0)),"")="sum",SUM(D26:O26),IF(IFERROR(INDEX(Справочник_KPI!$G:$G,MATCH($A26,Справочник_KPI!$A:$A,0)),"")="last",INDEX(D26:O26,COUNT(D26:O26)),AVERAGE(D26:O26))))</f>
        <v>94.2441666666667</v>
      </c>
    </row>
    <row r="27" customFormat="false" ht="15" hidden="false" customHeight="false" outlineLevel="0" collapsed="false">
      <c r="A27" s="13" t="s">
        <v>281</v>
      </c>
      <c r="B27" s="20" t="str">
        <f aca="false">IFERROR(INDEX(Справочник_KPI!$D:$D,MATCH($A27,Справочник_KPI!$A:$A,0)),"нет в справочнике")</f>
        <v>Возвраты (служебный)</v>
      </c>
      <c r="C27" s="20" t="str">
        <f aca="false">IFERROR(INDEX(Справочник_KPI!$E:$E,MATCH($A27,Справочник_KPI!$A:$A,0)),"")</f>
        <v>млн грн</v>
      </c>
      <c r="D27" s="21" t="n">
        <v>5.56</v>
      </c>
      <c r="E27" s="21" t="n">
        <v>5.43</v>
      </c>
      <c r="F27" s="21" t="n">
        <v>6.07</v>
      </c>
      <c r="G27" s="21" t="n">
        <v>5.99</v>
      </c>
      <c r="H27" s="21" t="n">
        <v>6.32</v>
      </c>
      <c r="I27" s="21" t="n">
        <v>6.39</v>
      </c>
      <c r="J27" s="21" t="n">
        <v>6.71</v>
      </c>
      <c r="K27" s="21" t="n">
        <v>6.9</v>
      </c>
      <c r="L27" s="21" t="n">
        <v>6.46</v>
      </c>
      <c r="M27" s="21" t="n">
        <v>6.89</v>
      </c>
      <c r="N27" s="21" t="n">
        <v>6.83</v>
      </c>
      <c r="O27" s="21" t="n">
        <v>7.84</v>
      </c>
      <c r="P27" s="22" t="n">
        <f aca="false">IF(COUNT(D27:O27)=0,"",IF(IFERROR(INDEX(Справочник_KPI!$G:$G,MATCH($A27,Справочник_KPI!$A:$A,0)),"")="sum",SUM(D27:O27),IF(IFERROR(INDEX(Справочник_KPI!$G:$G,MATCH($A27,Справочник_KPI!$A:$A,0)),"")="last",INDEX(D27:O27,COUNT(D27:O27)),AVERAGE(D27:O27))))</f>
        <v>77.39</v>
      </c>
    </row>
    <row r="28" customFormat="false" ht="15" hidden="false" customHeight="false" outlineLevel="0" collapsed="false">
      <c r="A28" s="13" t="s">
        <v>290</v>
      </c>
      <c r="B28" s="20" t="str">
        <f aca="false">IFERROR(INDEX(Справочник_KPI!$D:$D,MATCH($A28,Справочник_KPI!$A:$A,0)),"нет в справочнике")</f>
        <v>Скидки и промо (служебный)</v>
      </c>
      <c r="C28" s="20" t="str">
        <f aca="false">IFERROR(INDEX(Справочник_KPI!$E:$E,MATCH($A28,Справочник_KPI!$A:$A,0)),"")</f>
        <v>млн грн</v>
      </c>
      <c r="D28" s="21" t="n">
        <v>16.35</v>
      </c>
      <c r="E28" s="21" t="n">
        <v>16.26</v>
      </c>
      <c r="F28" s="21" t="n">
        <v>17.77</v>
      </c>
      <c r="G28" s="21" t="n">
        <v>18.17</v>
      </c>
      <c r="H28" s="21" t="n">
        <v>19.14</v>
      </c>
      <c r="I28" s="21" t="n">
        <v>19.22</v>
      </c>
      <c r="J28" s="21" t="n">
        <v>19.64</v>
      </c>
      <c r="K28" s="21" t="n">
        <v>19.55</v>
      </c>
      <c r="L28" s="21" t="n">
        <v>18.54</v>
      </c>
      <c r="M28" s="21" t="n">
        <v>19.91</v>
      </c>
      <c r="N28" s="21" t="n">
        <v>19.15</v>
      </c>
      <c r="O28" s="21" t="n">
        <v>22.68</v>
      </c>
      <c r="P28" s="22" t="n">
        <f aca="false">IF(COUNT(D28:O28)=0,"",IF(IFERROR(INDEX(Справочник_KPI!$G:$G,MATCH($A28,Справочник_KPI!$A:$A,0)),"")="sum",SUM(D28:O28),IF(IFERROR(INDEX(Справочник_KPI!$G:$G,MATCH($A28,Справочник_KPI!$A:$A,0)),"")="last",INDEX(D28:O28,COUNT(D28:O28)),AVERAGE(D28:O28))))</f>
        <v>226.38</v>
      </c>
    </row>
    <row r="29" customFormat="false" ht="15" hidden="false" customHeight="false" outlineLevel="0" collapsed="false">
      <c r="A29" s="13" t="s">
        <v>299</v>
      </c>
      <c r="B29" s="20" t="str">
        <f aca="false">IFERROR(INDEX(Справочник_KPI!$D:$D,MATCH($A29,Справочник_KPI!$A:$A,0)),"нет в справочнике")</f>
        <v>Инкассация ДЗ (собрано / к оплате)</v>
      </c>
      <c r="C29" s="20" t="str">
        <f aca="false">IFERROR(INDEX(Справочник_KPI!$E:$E,MATCH($A29,Справочник_KPI!$A:$A,0)),"")</f>
        <v>%</v>
      </c>
      <c r="D29" s="21" t="n">
        <v>95.75</v>
      </c>
      <c r="E29" s="21" t="n">
        <v>95.81</v>
      </c>
      <c r="F29" s="21" t="n">
        <v>96.04</v>
      </c>
      <c r="G29" s="21" t="n">
        <v>94.6</v>
      </c>
      <c r="H29" s="21" t="n">
        <v>94.32</v>
      </c>
      <c r="I29" s="21" t="n">
        <v>94.41</v>
      </c>
      <c r="J29" s="21" t="n">
        <v>95.14</v>
      </c>
      <c r="K29" s="21" t="n">
        <v>95.46</v>
      </c>
      <c r="L29" s="21" t="n">
        <v>95.98</v>
      </c>
      <c r="M29" s="21" t="n">
        <v>95.54</v>
      </c>
      <c r="N29" s="21" t="n">
        <v>95.39</v>
      </c>
      <c r="O29" s="21" t="n">
        <v>95.63</v>
      </c>
      <c r="P29" s="22" t="n">
        <f aca="false">IF(COUNT(D29:O29)=0,"",IF(IFERROR(INDEX(Справочник_KPI!$G:$G,MATCH($A29,Справочник_KPI!$A:$A,0)),"")="sum",SUM(D29:O29),IF(IFERROR(INDEX(Справочник_KPI!$G:$G,MATCH($A29,Справочник_KPI!$A:$A,0)),"")="last",INDEX(D29:O29,COUNT(D29:O29)),AVERAGE(D29:O29))))</f>
        <v>95.3391666666667</v>
      </c>
    </row>
    <row r="30" customFormat="false" ht="15" hidden="false" customHeight="false" outlineLevel="0" collapsed="false">
      <c r="A30" s="13" t="s">
        <v>304</v>
      </c>
      <c r="B30" s="20" t="str">
        <f aca="false">IFERROR(INDEX(Справочник_KPI!$D:$D,MATCH($A30,Справочник_KPI!$A:$A,0)),"нет в справочнике")</f>
        <v>Объём закупок</v>
      </c>
      <c r="C30" s="20" t="str">
        <f aca="false">IFERROR(INDEX(Справочник_KPI!$E:$E,MATCH($A30,Справочник_KPI!$A:$A,0)),"")</f>
        <v>млн грн</v>
      </c>
      <c r="D30" s="21" t="n">
        <v>381.81</v>
      </c>
      <c r="E30" s="21" t="n">
        <v>361.86</v>
      </c>
      <c r="F30" s="21" t="n">
        <v>430.04</v>
      </c>
      <c r="G30" s="21" t="n">
        <v>428.58</v>
      </c>
      <c r="H30" s="21" t="n">
        <v>436.27</v>
      </c>
      <c r="I30" s="21" t="n">
        <v>433.48</v>
      </c>
      <c r="J30" s="21" t="n">
        <v>449.12</v>
      </c>
      <c r="K30" s="21" t="n">
        <v>442.99</v>
      </c>
      <c r="L30" s="21" t="n">
        <v>424.65</v>
      </c>
      <c r="M30" s="21" t="n">
        <v>465.82</v>
      </c>
      <c r="N30" s="21" t="n">
        <v>451.83</v>
      </c>
      <c r="O30" s="21" t="n">
        <v>516.33</v>
      </c>
      <c r="P30" s="22" t="n">
        <f aca="false">IF(COUNT(D30:O30)=0,"",IF(IFERROR(INDEX(Справочник_KPI!$G:$G,MATCH($A30,Справочник_KPI!$A:$A,0)),"")="sum",SUM(D30:O30),IF(IFERROR(INDEX(Справочник_KPI!$G:$G,MATCH($A30,Справочник_KPI!$A:$A,0)),"")="last",INDEX(D30:O30,COUNT(D30:O30)),AVERAGE(D30:O30))))</f>
        <v>5222.78</v>
      </c>
    </row>
    <row r="31" customFormat="false" ht="15" hidden="false" customHeight="false" outlineLevel="0" collapsed="false">
      <c r="A31" s="13" t="s">
        <v>310</v>
      </c>
      <c r="B31" s="20" t="str">
        <f aca="false">IFERROR(INDEX(Справочник_KPI!$D:$D,MATCH($A31,Справочник_KPI!$A:$A,0)),"нет в справочнике")</f>
        <v>Товарный запас</v>
      </c>
      <c r="C31" s="20" t="str">
        <f aca="false">IFERROR(INDEX(Справочник_KPI!$E:$E,MATCH($A31,Справочник_KPI!$A:$A,0)),"")</f>
        <v>млн грн</v>
      </c>
      <c r="D31" s="21" t="n">
        <v>459.02</v>
      </c>
      <c r="E31" s="21" t="n">
        <v>463.64</v>
      </c>
      <c r="F31" s="21" t="n">
        <v>464.38</v>
      </c>
      <c r="G31" s="21" t="n">
        <v>457.35</v>
      </c>
      <c r="H31" s="21" t="n">
        <v>456.84</v>
      </c>
      <c r="I31" s="21" t="n">
        <v>462.29</v>
      </c>
      <c r="J31" s="21" t="n">
        <v>462.99</v>
      </c>
      <c r="K31" s="21" t="n">
        <v>460.66</v>
      </c>
      <c r="L31" s="21" t="n">
        <v>458.68</v>
      </c>
      <c r="M31" s="21" t="n">
        <v>463.21</v>
      </c>
      <c r="N31" s="21" t="n">
        <v>456.13</v>
      </c>
      <c r="O31" s="21" t="n">
        <v>459.62</v>
      </c>
      <c r="P31" s="22" t="n">
        <f aca="false">IF(COUNT(D31:O31)=0,"",IF(IFERROR(INDEX(Справочник_KPI!$G:$G,MATCH($A31,Справочник_KPI!$A:$A,0)),"")="sum",SUM(D31:O31),IF(IFERROR(INDEX(Справочник_KPI!$G:$G,MATCH($A31,Справочник_KPI!$A:$A,0)),"")="last",INDEX(D31:O31,COUNT(D31:O31)),AVERAGE(D31:O31))))</f>
        <v>459.62</v>
      </c>
    </row>
    <row r="32" customFormat="false" ht="15" hidden="false" customHeight="false" outlineLevel="0" collapsed="false">
      <c r="A32" s="13" t="s">
        <v>322</v>
      </c>
      <c r="B32" s="20" t="str">
        <f aca="false">IFERROR(INDEX(Справочник_KPI!$D:$D,MATCH($A32,Справочник_KPI!$A:$A,0)),"нет в справочнике")</f>
        <v>Неликвид и медленные (&gt; 90 дн.)</v>
      </c>
      <c r="C32" s="20" t="str">
        <f aca="false">IFERROR(INDEX(Справочник_KPI!$E:$E,MATCH($A32,Справочник_KPI!$A:$A,0)),"")</f>
        <v>%</v>
      </c>
      <c r="D32" s="21" t="n">
        <v>6.12</v>
      </c>
      <c r="E32" s="21" t="n">
        <v>6.01</v>
      </c>
      <c r="F32" s="21" t="n">
        <v>6.2</v>
      </c>
      <c r="G32" s="21" t="n">
        <v>6.27</v>
      </c>
      <c r="H32" s="21" t="n">
        <v>6.17</v>
      </c>
      <c r="I32" s="21" t="n">
        <v>6.1</v>
      </c>
      <c r="J32" s="21" t="n">
        <v>6.27</v>
      </c>
      <c r="K32" s="21" t="n">
        <v>6.37</v>
      </c>
      <c r="L32" s="21" t="n">
        <v>6.09</v>
      </c>
      <c r="M32" s="21" t="n">
        <v>6.01</v>
      </c>
      <c r="N32" s="21" t="n">
        <v>6.14</v>
      </c>
      <c r="O32" s="21" t="n">
        <v>6.17</v>
      </c>
      <c r="P32" s="22" t="n">
        <f aca="false">IF(COUNT(D32:O32)=0,"",IF(IFERROR(INDEX(Справочник_KPI!$G:$G,MATCH($A32,Справочник_KPI!$A:$A,0)),"")="sum",SUM(D32:O32),IF(IFERROR(INDEX(Справочник_KPI!$G:$G,MATCH($A32,Справочник_KPI!$A:$A,0)),"")="last",INDEX(D32:O32,COUNT(D32:O32)),AVERAGE(D32:O32))))</f>
        <v>6.17</v>
      </c>
    </row>
    <row r="33" customFormat="false" ht="15" hidden="false" customHeight="false" outlineLevel="0" collapsed="false">
      <c r="A33" s="13" t="s">
        <v>327</v>
      </c>
      <c r="B33" s="20" t="str">
        <f aca="false">IFERROR(INDEX(Справочник_KPI!$D:$D,MATCH($A33,Справочник_KPI!$A:$A,0)),"нет в справочнике")</f>
        <v>Списания (служебный)</v>
      </c>
      <c r="C33" s="20" t="str">
        <f aca="false">IFERROR(INDEX(Справочник_KPI!$E:$E,MATCH($A33,Справочник_KPI!$A:$A,0)),"")</f>
        <v>млн грн</v>
      </c>
      <c r="D33" s="21" t="n">
        <v>1.37</v>
      </c>
      <c r="E33" s="21" t="n">
        <v>1.36</v>
      </c>
      <c r="F33" s="21" t="n">
        <v>1.53</v>
      </c>
      <c r="G33" s="21" t="n">
        <v>1.58</v>
      </c>
      <c r="H33" s="21" t="n">
        <v>1.58</v>
      </c>
      <c r="I33" s="21" t="n">
        <v>1.61</v>
      </c>
      <c r="J33" s="21" t="n">
        <v>1.67</v>
      </c>
      <c r="K33" s="21" t="n">
        <v>1.72</v>
      </c>
      <c r="L33" s="21" t="n">
        <v>1.61</v>
      </c>
      <c r="M33" s="21" t="n">
        <v>1.72</v>
      </c>
      <c r="N33" s="21" t="n">
        <v>1.66</v>
      </c>
      <c r="O33" s="21" t="n">
        <v>1.91</v>
      </c>
      <c r="P33" s="22" t="n">
        <f aca="false">IF(COUNT(D33:O33)=0,"",IF(IFERROR(INDEX(Справочник_KPI!$G:$G,MATCH($A33,Справочник_KPI!$A:$A,0)),"")="sum",SUM(D33:O33),IF(IFERROR(INDEX(Справочник_KPI!$G:$G,MATCH($A33,Справочник_KPI!$A:$A,0)),"")="last",INDEX(D33:O33,COUNT(D33:O33)),AVERAGE(D33:O33))))</f>
        <v>19.32</v>
      </c>
    </row>
    <row r="34" customFormat="false" ht="15" hidden="false" customHeight="false" outlineLevel="0" collapsed="false">
      <c r="A34" s="13" t="s">
        <v>336</v>
      </c>
      <c r="B34" s="20" t="str">
        <f aca="false">IFERROR(INDEX(Справочник_KPI!$D:$D,MATCH($A34,Справочник_KPI!$A:$A,0)),"нет в справочнике")</f>
        <v>Out-of-stock на складе</v>
      </c>
      <c r="C34" s="20" t="str">
        <f aca="false">IFERROR(INDEX(Справочник_KPI!$E:$E,MATCH($A34,Справочник_KPI!$A:$A,0)),"")</f>
        <v>%</v>
      </c>
      <c r="D34" s="21" t="n">
        <v>3.38</v>
      </c>
      <c r="E34" s="21" t="n">
        <v>3.38</v>
      </c>
      <c r="F34" s="21" t="n">
        <v>3.81</v>
      </c>
      <c r="G34" s="21" t="n">
        <v>3.44</v>
      </c>
      <c r="H34" s="21" t="n">
        <v>3.96</v>
      </c>
      <c r="I34" s="21" t="n">
        <v>3.6</v>
      </c>
      <c r="J34" s="21" t="n">
        <v>3.35</v>
      </c>
      <c r="K34" s="21" t="n">
        <v>3.38</v>
      </c>
      <c r="L34" s="21" t="n">
        <v>3.53</v>
      </c>
      <c r="M34" s="21" t="n">
        <v>3.73</v>
      </c>
      <c r="N34" s="21" t="n">
        <v>3.96</v>
      </c>
      <c r="O34" s="21" t="n">
        <v>3.32</v>
      </c>
      <c r="P34" s="22" t="n">
        <f aca="false">IF(COUNT(D34:O34)=0,"",IF(IFERROR(INDEX(Справочник_KPI!$G:$G,MATCH($A34,Справочник_KPI!$A:$A,0)),"")="sum",SUM(D34:O34),IF(IFERROR(INDEX(Справочник_KPI!$G:$G,MATCH($A34,Справочник_KPI!$A:$A,0)),"")="last",INDEX(D34:O34,COUNT(D34:O34)),AVERAGE(D34:O34))))</f>
        <v>3.57</v>
      </c>
    </row>
    <row r="35" customFormat="false" ht="15" hidden="false" customHeight="false" outlineLevel="0" collapsed="false">
      <c r="A35" s="13" t="s">
        <v>342</v>
      </c>
      <c r="B35" s="20" t="str">
        <f aca="false">IFERROR(INDEX(Справочник_KPI!$D:$D,MATCH($A35,Справочник_KPI!$A:$A,0)),"нет в справочнике")</f>
        <v>Fill rate склада (по строкам)</v>
      </c>
      <c r="C35" s="20" t="str">
        <f aca="false">IFERROR(INDEX(Справочник_KPI!$E:$E,MATCH($A35,Справочник_KPI!$A:$A,0)),"")</f>
        <v>%</v>
      </c>
      <c r="D35" s="21" t="n">
        <v>96.39</v>
      </c>
      <c r="E35" s="21" t="n">
        <v>96.5</v>
      </c>
      <c r="F35" s="21" t="n">
        <v>96.47</v>
      </c>
      <c r="G35" s="21" t="n">
        <v>96.23</v>
      </c>
      <c r="H35" s="21" t="n">
        <v>96.17</v>
      </c>
      <c r="I35" s="21" t="n">
        <v>96.47</v>
      </c>
      <c r="J35" s="21" t="n">
        <v>96.4</v>
      </c>
      <c r="K35" s="21" t="n">
        <v>96.11</v>
      </c>
      <c r="L35" s="21" t="n">
        <v>96.37</v>
      </c>
      <c r="M35" s="21" t="n">
        <v>96.25</v>
      </c>
      <c r="N35" s="21" t="n">
        <v>96.25</v>
      </c>
      <c r="O35" s="21" t="n">
        <v>96.23</v>
      </c>
      <c r="P35" s="22" t="n">
        <f aca="false">IF(COUNT(D35:O35)=0,"",IF(IFERROR(INDEX(Справочник_KPI!$G:$G,MATCH($A35,Справочник_KPI!$A:$A,0)),"")="sum",SUM(D35:O35),IF(IFERROR(INDEX(Справочник_KPI!$G:$G,MATCH($A35,Справочник_KPI!$A:$A,0)),"")="last",INDEX(D35:O35,COUNT(D35:O35)),AVERAGE(D35:O35))))</f>
        <v>96.32</v>
      </c>
    </row>
    <row r="36" customFormat="false" ht="15" hidden="false" customHeight="false" outlineLevel="0" collapsed="false">
      <c r="A36" s="13" t="s">
        <v>347</v>
      </c>
      <c r="B36" s="20" t="str">
        <f aca="false">IFERROR(INDEX(Справочник_KPI!$D:$D,MATCH($A36,Справочник_KPI!$A:$A,0)),"нет в справочнике")</f>
        <v>OTIF поставщиков</v>
      </c>
      <c r="C36" s="20" t="str">
        <f aca="false">IFERROR(INDEX(Справочник_KPI!$E:$E,MATCH($A36,Справочник_KPI!$A:$A,0)),"")</f>
        <v>%</v>
      </c>
      <c r="D36" s="21" t="n">
        <v>88.46</v>
      </c>
      <c r="E36" s="21" t="n">
        <v>88.47</v>
      </c>
      <c r="F36" s="21" t="n">
        <v>87.3</v>
      </c>
      <c r="G36" s="21" t="n">
        <v>86.15</v>
      </c>
      <c r="H36" s="21" t="n">
        <v>87.42</v>
      </c>
      <c r="I36" s="21" t="n">
        <v>87.12</v>
      </c>
      <c r="J36" s="21" t="n">
        <v>88.76</v>
      </c>
      <c r="K36" s="21" t="n">
        <v>86.58</v>
      </c>
      <c r="L36" s="21" t="n">
        <v>87.09</v>
      </c>
      <c r="M36" s="21" t="n">
        <v>88.69</v>
      </c>
      <c r="N36" s="21" t="n">
        <v>86.09</v>
      </c>
      <c r="O36" s="21" t="n">
        <v>87.23</v>
      </c>
      <c r="P36" s="22" t="n">
        <f aca="false">IF(COUNT(D36:O36)=0,"",IF(IFERROR(INDEX(Справочник_KPI!$G:$G,MATCH($A36,Справочник_KPI!$A:$A,0)),"")="sum",SUM(D36:O36),IF(IFERROR(INDEX(Справочник_KPI!$G:$G,MATCH($A36,Справочник_KPI!$A:$A,0)),"")="last",INDEX(D36:O36,COUNT(D36:O36)),AVERAGE(D36:O36))))</f>
        <v>87.4466666666667</v>
      </c>
    </row>
    <row r="37" customFormat="false" ht="15" hidden="false" customHeight="false" outlineLevel="0" collapsed="false">
      <c r="A37" s="13" t="s">
        <v>353</v>
      </c>
      <c r="B37" s="20" t="str">
        <f aca="false">IFERROR(INDEX(Справочник_KPI!$D:$D,MATCH($A37,Справочник_KPI!$A:$A,0)),"нет в справочнике")</f>
        <v>Точность прогноза спроса</v>
      </c>
      <c r="C37" s="20" t="str">
        <f aca="false">IFERROR(INDEX(Справочник_KPI!$E:$E,MATCH($A37,Справочник_KPI!$A:$A,0)),"")</f>
        <v>%</v>
      </c>
      <c r="D37" s="21" t="n">
        <v>72.81</v>
      </c>
      <c r="E37" s="21" t="n">
        <v>72.73</v>
      </c>
      <c r="F37" s="21" t="n">
        <v>73.55</v>
      </c>
      <c r="G37" s="21" t="n">
        <v>73.14</v>
      </c>
      <c r="H37" s="21" t="n">
        <v>72.71</v>
      </c>
      <c r="I37" s="21" t="n">
        <v>73.26</v>
      </c>
      <c r="J37" s="21" t="n">
        <v>72.78</v>
      </c>
      <c r="K37" s="21" t="n">
        <v>72.73</v>
      </c>
      <c r="L37" s="21" t="n">
        <v>72.4</v>
      </c>
      <c r="M37" s="21" t="n">
        <v>73.31</v>
      </c>
      <c r="N37" s="21" t="n">
        <v>73.5</v>
      </c>
      <c r="O37" s="21" t="n">
        <v>73.16</v>
      </c>
      <c r="P37" s="22" t="n">
        <f aca="false">IF(COUNT(D37:O37)=0,"",IF(IFERROR(INDEX(Справочник_KPI!$G:$G,MATCH($A37,Справочник_KPI!$A:$A,0)),"")="sum",SUM(D37:O37),IF(IFERROR(INDEX(Справочник_KPI!$G:$G,MATCH($A37,Справочник_KPI!$A:$A,0)),"")="last",INDEX(D37:O37,COUNT(D37:O37)),AVERAGE(D37:O37))))</f>
        <v>73.16</v>
      </c>
    </row>
    <row r="38" customFormat="false" ht="15" hidden="false" customHeight="false" outlineLevel="0" collapsed="false">
      <c r="A38" s="13" t="s">
        <v>358</v>
      </c>
      <c r="B38" s="20" t="str">
        <f aca="false">IFERROR(INDEX(Справочник_KPI!$D:$D,MATCH($A38,Справочник_KPI!$A:$A,0)),"нет в справочнике")</f>
        <v>Бонусы поставщиков (back margin)</v>
      </c>
      <c r="C38" s="20" t="str">
        <f aca="false">IFERROR(INDEX(Справочник_KPI!$E:$E,MATCH($A38,Справочник_KPI!$A:$A,0)),"")</f>
        <v>%</v>
      </c>
      <c r="D38" s="21" t="n">
        <v>4.1</v>
      </c>
      <c r="E38" s="21" t="n">
        <v>4.19</v>
      </c>
      <c r="F38" s="21" t="n">
        <v>4.04</v>
      </c>
      <c r="G38" s="21" t="n">
        <v>4.16</v>
      </c>
      <c r="H38" s="21" t="n">
        <v>4.15</v>
      </c>
      <c r="I38" s="21" t="n">
        <v>4.16</v>
      </c>
      <c r="J38" s="21" t="n">
        <v>4.15</v>
      </c>
      <c r="K38" s="21" t="n">
        <v>4.12</v>
      </c>
      <c r="L38" s="21" t="n">
        <v>4.07</v>
      </c>
      <c r="M38" s="21" t="n">
        <v>4.06</v>
      </c>
      <c r="N38" s="21" t="n">
        <v>4.07</v>
      </c>
      <c r="O38" s="21" t="n">
        <v>4.16</v>
      </c>
      <c r="P38" s="22" t="n">
        <f aca="false">IF(COUNT(D38:O38)=0,"",IF(IFERROR(INDEX(Справочник_KPI!$G:$G,MATCH($A38,Справочник_KPI!$A:$A,0)),"")="sum",SUM(D38:O38),IF(IFERROR(INDEX(Справочник_KPI!$G:$G,MATCH($A38,Справочник_KPI!$A:$A,0)),"")="last",INDEX(D38:O38,COUNT(D38:O38)),AVERAGE(D38:O38))))</f>
        <v>4.16</v>
      </c>
    </row>
    <row r="39" customFormat="false" ht="15" hidden="false" customHeight="false" outlineLevel="0" collapsed="false">
      <c r="A39" s="13" t="s">
        <v>364</v>
      </c>
      <c r="B39" s="20" t="str">
        <f aca="false">IFERROR(INDEX(Справочник_KPI!$D:$D,MATCH($A39,Справочник_KPI!$A:$A,0)),"нет в справочнике")</f>
        <v>Экономия на закупках</v>
      </c>
      <c r="C39" s="20" t="str">
        <f aca="false">IFERROR(INDEX(Справочник_KPI!$E:$E,MATCH($A39,Справочник_KPI!$A:$A,0)),"")</f>
        <v>млн грн</v>
      </c>
      <c r="D39" s="21" t="n">
        <v>2.71</v>
      </c>
      <c r="E39" s="21" t="n">
        <v>2.63</v>
      </c>
      <c r="F39" s="21" t="n">
        <v>3.04</v>
      </c>
      <c r="G39" s="21" t="n">
        <v>3.01</v>
      </c>
      <c r="H39" s="21" t="n">
        <v>3.17</v>
      </c>
      <c r="I39" s="21" t="n">
        <v>3.08</v>
      </c>
      <c r="J39" s="21" t="n">
        <v>3.23</v>
      </c>
      <c r="K39" s="21" t="n">
        <v>3.21</v>
      </c>
      <c r="L39" s="21" t="n">
        <v>3.11</v>
      </c>
      <c r="M39" s="21" t="n">
        <v>3.31</v>
      </c>
      <c r="N39" s="21" t="n">
        <v>3.22</v>
      </c>
      <c r="O39" s="21" t="n">
        <v>3.73</v>
      </c>
      <c r="P39" s="22" t="n">
        <f aca="false">IF(COUNT(D39:O39)=0,"",IF(IFERROR(INDEX(Справочник_KPI!$G:$G,MATCH($A39,Справочник_KPI!$A:$A,0)),"")="sum",SUM(D39:O39),IF(IFERROR(INDEX(Справочник_KPI!$G:$G,MATCH($A39,Справочник_KPI!$A:$A,0)),"")="last",INDEX(D39:O39,COUNT(D39:O39)),AVERAGE(D39:O39))))</f>
        <v>37.45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30" hidden="false" customHeight="true" outlineLevel="0" collapsed="false">
      <c r="A1" s="24" t="s">
        <v>369</v>
      </c>
      <c r="B1" s="24" t="s">
        <v>56</v>
      </c>
      <c r="C1" s="24" t="s">
        <v>37</v>
      </c>
    </row>
    <row r="2" customFormat="false" ht="15" hidden="false" customHeight="false" outlineLevel="0" collapsed="false">
      <c r="A2" s="18" t="n">
        <v>46296</v>
      </c>
      <c r="B2" s="13" t="s">
        <v>70</v>
      </c>
      <c r="C2" s="25" t="n">
        <v>24.771</v>
      </c>
    </row>
    <row r="3" customFormat="false" ht="15" hidden="false" customHeight="false" outlineLevel="0" collapsed="false">
      <c r="A3" s="18" t="n">
        <v>46296</v>
      </c>
      <c r="B3" s="13" t="s">
        <v>82</v>
      </c>
      <c r="C3" s="25" t="n">
        <v>4.961</v>
      </c>
    </row>
    <row r="4" customFormat="false" ht="15" hidden="false" customHeight="false" outlineLevel="0" collapsed="false">
      <c r="A4" s="18" t="n">
        <v>46296</v>
      </c>
      <c r="B4" s="13" t="s">
        <v>98</v>
      </c>
      <c r="C4" s="25" t="n">
        <v>4.551</v>
      </c>
    </row>
    <row r="5" customFormat="false" ht="15" hidden="false" customHeight="false" outlineLevel="0" collapsed="false">
      <c r="A5" s="18" t="n">
        <v>46296</v>
      </c>
      <c r="B5" s="13" t="s">
        <v>123</v>
      </c>
      <c r="C5" s="25" t="n">
        <v>1.079</v>
      </c>
    </row>
    <row r="6" customFormat="false" ht="15" hidden="false" customHeight="false" outlineLevel="0" collapsed="false">
      <c r="A6" s="18" t="n">
        <v>46296</v>
      </c>
      <c r="B6" s="13" t="s">
        <v>133</v>
      </c>
      <c r="C6" s="25" t="n">
        <v>0.986</v>
      </c>
    </row>
    <row r="7" customFormat="false" ht="15" hidden="false" customHeight="false" outlineLevel="0" collapsed="false">
      <c r="A7" s="18" t="n">
        <v>46296</v>
      </c>
      <c r="B7" s="13" t="s">
        <v>139</v>
      </c>
      <c r="C7" s="25" t="n">
        <v>191.45</v>
      </c>
    </row>
    <row r="8" customFormat="false" ht="15" hidden="false" customHeight="false" outlineLevel="0" collapsed="false">
      <c r="A8" s="18" t="n">
        <v>46296</v>
      </c>
      <c r="B8" s="13" t="s">
        <v>146</v>
      </c>
      <c r="C8" s="25" t="n">
        <v>31.07</v>
      </c>
    </row>
    <row r="9" customFormat="false" ht="15" hidden="false" customHeight="false" outlineLevel="0" collapsed="false">
      <c r="A9" s="18" t="n">
        <v>46296</v>
      </c>
      <c r="B9" s="13" t="s">
        <v>153</v>
      </c>
      <c r="C9" s="25" t="n">
        <v>7.1</v>
      </c>
    </row>
    <row r="10" customFormat="false" ht="15" hidden="false" customHeight="false" outlineLevel="0" collapsed="false">
      <c r="A10" s="18" t="n">
        <v>46296</v>
      </c>
      <c r="B10" s="13" t="s">
        <v>159</v>
      </c>
      <c r="C10" s="25" t="n">
        <v>34.07</v>
      </c>
    </row>
    <row r="11" customFormat="false" ht="15" hidden="false" customHeight="false" outlineLevel="0" collapsed="false">
      <c r="A11" s="18" t="n">
        <v>46296</v>
      </c>
      <c r="B11" s="13" t="s">
        <v>167</v>
      </c>
      <c r="C11" s="25" t="n">
        <v>45.62</v>
      </c>
    </row>
    <row r="12" customFormat="false" ht="15" hidden="false" customHeight="false" outlineLevel="0" collapsed="false">
      <c r="A12" s="18" t="n">
        <v>46296</v>
      </c>
      <c r="B12" s="13" t="s">
        <v>203</v>
      </c>
      <c r="C12" s="25" t="n">
        <v>18652</v>
      </c>
    </row>
    <row r="13" customFormat="false" ht="15" hidden="false" customHeight="false" outlineLevel="0" collapsed="false">
      <c r="A13" s="18" t="n">
        <v>46296</v>
      </c>
      <c r="B13" s="13" t="s">
        <v>229</v>
      </c>
      <c r="C13" s="25" t="n">
        <v>483</v>
      </c>
    </row>
    <row r="14" customFormat="false" ht="15" hidden="false" customHeight="false" outlineLevel="0" collapsed="false">
      <c r="A14" s="18" t="n">
        <v>46296</v>
      </c>
      <c r="B14" s="13" t="s">
        <v>236</v>
      </c>
      <c r="C14" s="25" t="n">
        <v>16</v>
      </c>
    </row>
    <row r="15" customFormat="false" ht="15" hidden="false" customHeight="false" outlineLevel="0" collapsed="false">
      <c r="A15" s="18" t="n">
        <v>46296</v>
      </c>
      <c r="B15" s="13" t="s">
        <v>241</v>
      </c>
      <c r="C15" s="25" t="n">
        <v>86.19</v>
      </c>
    </row>
    <row r="16" customFormat="false" ht="15" hidden="false" customHeight="false" outlineLevel="0" collapsed="false">
      <c r="A16" s="18" t="n">
        <v>46296</v>
      </c>
      <c r="B16" s="13" t="s">
        <v>247</v>
      </c>
      <c r="C16" s="25" t="n">
        <v>2955</v>
      </c>
    </row>
    <row r="17" customFormat="false" ht="15" hidden="false" customHeight="false" outlineLevel="0" collapsed="false">
      <c r="A17" s="18" t="n">
        <v>46296</v>
      </c>
      <c r="B17" s="13" t="s">
        <v>260</v>
      </c>
      <c r="C17" s="25" t="n">
        <v>13.43</v>
      </c>
    </row>
    <row r="18" customFormat="false" ht="15" hidden="false" customHeight="false" outlineLevel="0" collapsed="false">
      <c r="A18" s="18" t="n">
        <v>46296</v>
      </c>
      <c r="B18" s="13" t="s">
        <v>265</v>
      </c>
      <c r="C18" s="25" t="n">
        <v>80.17</v>
      </c>
    </row>
    <row r="19" customFormat="false" ht="15" hidden="false" customHeight="false" outlineLevel="0" collapsed="false">
      <c r="A19" s="18" t="n">
        <v>46296</v>
      </c>
      <c r="B19" s="13" t="s">
        <v>270</v>
      </c>
      <c r="C19" s="25" t="n">
        <v>95.24</v>
      </c>
    </row>
    <row r="20" customFormat="false" ht="15" hidden="false" customHeight="false" outlineLevel="0" collapsed="false">
      <c r="A20" s="18" t="n">
        <v>46296</v>
      </c>
      <c r="B20" s="13" t="s">
        <v>275</v>
      </c>
      <c r="C20" s="25" t="n">
        <v>97.14</v>
      </c>
    </row>
    <row r="21" customFormat="false" ht="15" hidden="false" customHeight="false" outlineLevel="0" collapsed="false">
      <c r="A21" s="18" t="n">
        <v>46296</v>
      </c>
      <c r="B21" s="13" t="s">
        <v>281</v>
      </c>
      <c r="C21" s="25" t="n">
        <v>0.383</v>
      </c>
    </row>
    <row r="22" customFormat="false" ht="15" hidden="false" customHeight="false" outlineLevel="0" collapsed="false">
      <c r="A22" s="18" t="n">
        <v>46296</v>
      </c>
      <c r="B22" s="13" t="s">
        <v>290</v>
      </c>
      <c r="C22" s="25" t="n">
        <v>0.902</v>
      </c>
    </row>
    <row r="23" customFormat="false" ht="15" hidden="false" customHeight="false" outlineLevel="0" collapsed="false">
      <c r="A23" s="18" t="n">
        <v>46296</v>
      </c>
      <c r="B23" s="13" t="s">
        <v>299</v>
      </c>
      <c r="C23" s="25" t="n">
        <v>99.25</v>
      </c>
    </row>
    <row r="24" customFormat="false" ht="15" hidden="false" customHeight="false" outlineLevel="0" collapsed="false">
      <c r="A24" s="18" t="n">
        <v>46296</v>
      </c>
      <c r="B24" s="13" t="s">
        <v>304</v>
      </c>
      <c r="C24" s="25" t="n">
        <v>25.616</v>
      </c>
    </row>
    <row r="25" customFormat="false" ht="15" hidden="false" customHeight="false" outlineLevel="0" collapsed="false">
      <c r="A25" s="18" t="n">
        <v>46296</v>
      </c>
      <c r="B25" s="13" t="s">
        <v>310</v>
      </c>
      <c r="C25" s="25" t="n">
        <v>506.75</v>
      </c>
    </row>
    <row r="26" customFormat="false" ht="15" hidden="false" customHeight="false" outlineLevel="0" collapsed="false">
      <c r="A26" s="18" t="n">
        <v>46296</v>
      </c>
      <c r="B26" s="13" t="s">
        <v>327</v>
      </c>
      <c r="C26" s="25" t="n">
        <v>0.101</v>
      </c>
    </row>
    <row r="27" customFormat="false" ht="15" hidden="false" customHeight="false" outlineLevel="0" collapsed="false">
      <c r="A27" s="18" t="n">
        <v>46296</v>
      </c>
      <c r="B27" s="13" t="s">
        <v>336</v>
      </c>
      <c r="C27" s="25" t="n">
        <v>3.47</v>
      </c>
    </row>
    <row r="28" customFormat="false" ht="15" hidden="false" customHeight="false" outlineLevel="0" collapsed="false">
      <c r="A28" s="18" t="n">
        <v>46296</v>
      </c>
      <c r="B28" s="13" t="s">
        <v>342</v>
      </c>
      <c r="C28" s="25" t="n">
        <v>98.19</v>
      </c>
    </row>
    <row r="29" customFormat="false" ht="15" hidden="false" customHeight="false" outlineLevel="0" collapsed="false">
      <c r="A29" s="18" t="n">
        <v>46296</v>
      </c>
      <c r="B29" s="13" t="s">
        <v>347</v>
      </c>
      <c r="C29" s="25" t="n">
        <v>89.77</v>
      </c>
    </row>
    <row r="30" customFormat="false" ht="15" hidden="false" customHeight="false" outlineLevel="0" collapsed="false">
      <c r="A30" s="18" t="n">
        <v>46296</v>
      </c>
      <c r="B30" s="13" t="s">
        <v>364</v>
      </c>
      <c r="C30" s="25" t="n">
        <v>0.165</v>
      </c>
    </row>
    <row r="31" customFormat="false" ht="15" hidden="false" customHeight="false" outlineLevel="0" collapsed="false">
      <c r="A31" s="18" t="n">
        <v>46297</v>
      </c>
      <c r="B31" s="13" t="s">
        <v>70</v>
      </c>
      <c r="C31" s="25" t="n">
        <v>25.777</v>
      </c>
    </row>
    <row r="32" customFormat="false" ht="15" hidden="false" customHeight="false" outlineLevel="0" collapsed="false">
      <c r="A32" s="18" t="n">
        <v>46297</v>
      </c>
      <c r="B32" s="13" t="s">
        <v>82</v>
      </c>
      <c r="C32" s="25" t="n">
        <v>5.256</v>
      </c>
    </row>
    <row r="33" customFormat="false" ht="15" hidden="false" customHeight="false" outlineLevel="0" collapsed="false">
      <c r="A33" s="18" t="n">
        <v>46297</v>
      </c>
      <c r="B33" s="13" t="s">
        <v>98</v>
      </c>
      <c r="C33" s="25" t="n">
        <v>4.177</v>
      </c>
    </row>
    <row r="34" customFormat="false" ht="15" hidden="false" customHeight="false" outlineLevel="0" collapsed="false">
      <c r="A34" s="18" t="n">
        <v>46297</v>
      </c>
      <c r="B34" s="13" t="s">
        <v>123</v>
      </c>
      <c r="C34" s="25" t="n">
        <v>1.104</v>
      </c>
    </row>
    <row r="35" customFormat="false" ht="15" hidden="false" customHeight="false" outlineLevel="0" collapsed="false">
      <c r="A35" s="18" t="n">
        <v>46297</v>
      </c>
      <c r="B35" s="13" t="s">
        <v>133</v>
      </c>
      <c r="C35" s="25" t="n">
        <v>1.003</v>
      </c>
    </row>
    <row r="36" customFormat="false" ht="15" hidden="false" customHeight="false" outlineLevel="0" collapsed="false">
      <c r="A36" s="18" t="n">
        <v>46297</v>
      </c>
      <c r="B36" s="13" t="s">
        <v>139</v>
      </c>
      <c r="C36" s="25" t="n">
        <v>192.73</v>
      </c>
    </row>
    <row r="37" customFormat="false" ht="15" hidden="false" customHeight="false" outlineLevel="0" collapsed="false">
      <c r="A37" s="18" t="n">
        <v>46297</v>
      </c>
      <c r="B37" s="13" t="s">
        <v>146</v>
      </c>
      <c r="C37" s="25" t="n">
        <v>30.78</v>
      </c>
    </row>
    <row r="38" customFormat="false" ht="15" hidden="false" customHeight="false" outlineLevel="0" collapsed="false">
      <c r="A38" s="18" t="n">
        <v>46297</v>
      </c>
      <c r="B38" s="13" t="s">
        <v>153</v>
      </c>
      <c r="C38" s="25" t="n">
        <v>7.15</v>
      </c>
    </row>
    <row r="39" customFormat="false" ht="15" hidden="false" customHeight="false" outlineLevel="0" collapsed="false">
      <c r="A39" s="18" t="n">
        <v>46297</v>
      </c>
      <c r="B39" s="13" t="s">
        <v>159</v>
      </c>
      <c r="C39" s="25" t="n">
        <v>33.97</v>
      </c>
    </row>
    <row r="40" customFormat="false" ht="15" hidden="false" customHeight="false" outlineLevel="0" collapsed="false">
      <c r="A40" s="18" t="n">
        <v>46297</v>
      </c>
      <c r="B40" s="13" t="s">
        <v>167</v>
      </c>
      <c r="C40" s="25" t="n">
        <v>46.03</v>
      </c>
    </row>
    <row r="41" customFormat="false" ht="15" hidden="false" customHeight="false" outlineLevel="0" collapsed="false">
      <c r="A41" s="18" t="n">
        <v>46297</v>
      </c>
      <c r="B41" s="13" t="s">
        <v>203</v>
      </c>
      <c r="C41" s="25" t="n">
        <v>18715</v>
      </c>
    </row>
    <row r="42" customFormat="false" ht="15" hidden="false" customHeight="false" outlineLevel="0" collapsed="false">
      <c r="A42" s="18" t="n">
        <v>46297</v>
      </c>
      <c r="B42" s="13" t="s">
        <v>229</v>
      </c>
      <c r="C42" s="25" t="n">
        <v>407</v>
      </c>
    </row>
    <row r="43" customFormat="false" ht="15" hidden="false" customHeight="false" outlineLevel="0" collapsed="false">
      <c r="A43" s="18" t="n">
        <v>46297</v>
      </c>
      <c r="B43" s="13" t="s">
        <v>236</v>
      </c>
      <c r="C43" s="25" t="n">
        <v>15</v>
      </c>
    </row>
    <row r="44" customFormat="false" ht="15" hidden="false" customHeight="false" outlineLevel="0" collapsed="false">
      <c r="A44" s="18" t="n">
        <v>46297</v>
      </c>
      <c r="B44" s="13" t="s">
        <v>241</v>
      </c>
      <c r="C44" s="25" t="n">
        <v>85.82</v>
      </c>
    </row>
    <row r="45" customFormat="false" ht="15" hidden="false" customHeight="false" outlineLevel="0" collapsed="false">
      <c r="A45" s="18" t="n">
        <v>46297</v>
      </c>
      <c r="B45" s="13" t="s">
        <v>247</v>
      </c>
      <c r="C45" s="25" t="n">
        <v>3091</v>
      </c>
    </row>
    <row r="46" customFormat="false" ht="15" hidden="false" customHeight="false" outlineLevel="0" collapsed="false">
      <c r="A46" s="18" t="n">
        <v>46297</v>
      </c>
      <c r="B46" s="13" t="s">
        <v>260</v>
      </c>
      <c r="C46" s="25" t="n">
        <v>13.31</v>
      </c>
    </row>
    <row r="47" customFormat="false" ht="15" hidden="false" customHeight="false" outlineLevel="0" collapsed="false">
      <c r="A47" s="18" t="n">
        <v>46297</v>
      </c>
      <c r="B47" s="13" t="s">
        <v>265</v>
      </c>
      <c r="C47" s="25" t="n">
        <v>80.26</v>
      </c>
    </row>
    <row r="48" customFormat="false" ht="15" hidden="false" customHeight="false" outlineLevel="0" collapsed="false">
      <c r="A48" s="18" t="n">
        <v>46297</v>
      </c>
      <c r="B48" s="13" t="s">
        <v>270</v>
      </c>
      <c r="C48" s="25" t="n">
        <v>95.33</v>
      </c>
    </row>
    <row r="49" customFormat="false" ht="15" hidden="false" customHeight="false" outlineLevel="0" collapsed="false">
      <c r="A49" s="18" t="n">
        <v>46297</v>
      </c>
      <c r="B49" s="13" t="s">
        <v>275</v>
      </c>
      <c r="C49" s="25" t="n">
        <v>97.79</v>
      </c>
    </row>
    <row r="50" customFormat="false" ht="15" hidden="false" customHeight="false" outlineLevel="0" collapsed="false">
      <c r="A50" s="18" t="n">
        <v>46297</v>
      </c>
      <c r="B50" s="13" t="s">
        <v>281</v>
      </c>
      <c r="C50" s="25" t="n">
        <v>0.406</v>
      </c>
    </row>
    <row r="51" customFormat="false" ht="15" hidden="false" customHeight="false" outlineLevel="0" collapsed="false">
      <c r="A51" s="18" t="n">
        <v>46297</v>
      </c>
      <c r="B51" s="13" t="s">
        <v>290</v>
      </c>
      <c r="C51" s="25" t="n">
        <v>1.066</v>
      </c>
    </row>
    <row r="52" customFormat="false" ht="15" hidden="false" customHeight="false" outlineLevel="0" collapsed="false">
      <c r="A52" s="18" t="n">
        <v>46297</v>
      </c>
      <c r="B52" s="13" t="s">
        <v>299</v>
      </c>
      <c r="C52" s="25" t="n">
        <v>99.36</v>
      </c>
    </row>
    <row r="53" customFormat="false" ht="15" hidden="false" customHeight="false" outlineLevel="0" collapsed="false">
      <c r="A53" s="18" t="n">
        <v>46297</v>
      </c>
      <c r="B53" s="13" t="s">
        <v>304</v>
      </c>
      <c r="C53" s="25" t="n">
        <v>24.656</v>
      </c>
    </row>
    <row r="54" customFormat="false" ht="15" hidden="false" customHeight="false" outlineLevel="0" collapsed="false">
      <c r="A54" s="18" t="n">
        <v>46297</v>
      </c>
      <c r="B54" s="13" t="s">
        <v>310</v>
      </c>
      <c r="C54" s="25" t="n">
        <v>509.83</v>
      </c>
    </row>
    <row r="55" customFormat="false" ht="15" hidden="false" customHeight="false" outlineLevel="0" collapsed="false">
      <c r="A55" s="18" t="n">
        <v>46297</v>
      </c>
      <c r="B55" s="13" t="s">
        <v>327</v>
      </c>
      <c r="C55" s="25" t="n">
        <v>0.102</v>
      </c>
    </row>
    <row r="56" customFormat="false" ht="15" hidden="false" customHeight="false" outlineLevel="0" collapsed="false">
      <c r="A56" s="18" t="n">
        <v>46297</v>
      </c>
      <c r="B56" s="13" t="s">
        <v>336</v>
      </c>
      <c r="C56" s="25" t="n">
        <v>3.38</v>
      </c>
    </row>
    <row r="57" customFormat="false" ht="15" hidden="false" customHeight="false" outlineLevel="0" collapsed="false">
      <c r="A57" s="18" t="n">
        <v>46297</v>
      </c>
      <c r="B57" s="13" t="s">
        <v>342</v>
      </c>
      <c r="C57" s="25" t="n">
        <v>98.18</v>
      </c>
    </row>
    <row r="58" customFormat="false" ht="15" hidden="false" customHeight="false" outlineLevel="0" collapsed="false">
      <c r="A58" s="18" t="n">
        <v>46297</v>
      </c>
      <c r="B58" s="13" t="s">
        <v>347</v>
      </c>
      <c r="C58" s="25" t="n">
        <v>89.27</v>
      </c>
    </row>
    <row r="59" customFormat="false" ht="15" hidden="false" customHeight="false" outlineLevel="0" collapsed="false">
      <c r="A59" s="18" t="n">
        <v>46297</v>
      </c>
      <c r="B59" s="13" t="s">
        <v>364</v>
      </c>
      <c r="C59" s="25" t="n">
        <v>0.2</v>
      </c>
    </row>
    <row r="60" customFormat="false" ht="15" hidden="false" customHeight="false" outlineLevel="0" collapsed="false">
      <c r="A60" s="18" t="n">
        <v>46300</v>
      </c>
      <c r="B60" s="13" t="s">
        <v>70</v>
      </c>
      <c r="C60" s="25" t="n">
        <v>30.502</v>
      </c>
    </row>
    <row r="61" customFormat="false" ht="15" hidden="false" customHeight="false" outlineLevel="0" collapsed="false">
      <c r="A61" s="18" t="n">
        <v>46300</v>
      </c>
      <c r="B61" s="13" t="s">
        <v>82</v>
      </c>
      <c r="C61" s="25" t="n">
        <v>5.585</v>
      </c>
    </row>
    <row r="62" customFormat="false" ht="15" hidden="false" customHeight="false" outlineLevel="0" collapsed="false">
      <c r="A62" s="18" t="n">
        <v>46300</v>
      </c>
      <c r="B62" s="13" t="s">
        <v>98</v>
      </c>
      <c r="C62" s="25" t="n">
        <v>3.868</v>
      </c>
    </row>
    <row r="63" customFormat="false" ht="15" hidden="false" customHeight="false" outlineLevel="0" collapsed="false">
      <c r="A63" s="18" t="n">
        <v>46300</v>
      </c>
      <c r="B63" s="13" t="s">
        <v>123</v>
      </c>
      <c r="C63" s="25" t="n">
        <v>1.39</v>
      </c>
    </row>
    <row r="64" customFormat="false" ht="15" hidden="false" customHeight="false" outlineLevel="0" collapsed="false">
      <c r="A64" s="18" t="n">
        <v>46300</v>
      </c>
      <c r="B64" s="13" t="s">
        <v>133</v>
      </c>
      <c r="C64" s="25" t="n">
        <v>1.115</v>
      </c>
    </row>
    <row r="65" customFormat="false" ht="15" hidden="false" customHeight="false" outlineLevel="0" collapsed="false">
      <c r="A65" s="18" t="n">
        <v>46300</v>
      </c>
      <c r="B65" s="13" t="s">
        <v>139</v>
      </c>
      <c r="C65" s="25" t="n">
        <v>192.41</v>
      </c>
    </row>
    <row r="66" customFormat="false" ht="15" hidden="false" customHeight="false" outlineLevel="0" collapsed="false">
      <c r="A66" s="18" t="n">
        <v>46300</v>
      </c>
      <c r="B66" s="13" t="s">
        <v>146</v>
      </c>
      <c r="C66" s="25" t="n">
        <v>30.6</v>
      </c>
    </row>
    <row r="67" customFormat="false" ht="15" hidden="false" customHeight="false" outlineLevel="0" collapsed="false">
      <c r="A67" s="18" t="n">
        <v>46300</v>
      </c>
      <c r="B67" s="13" t="s">
        <v>153</v>
      </c>
      <c r="C67" s="25" t="n">
        <v>7.04</v>
      </c>
    </row>
    <row r="68" customFormat="false" ht="15" hidden="false" customHeight="false" outlineLevel="0" collapsed="false">
      <c r="A68" s="18" t="n">
        <v>46300</v>
      </c>
      <c r="B68" s="13" t="s">
        <v>159</v>
      </c>
      <c r="C68" s="25" t="n">
        <v>34.16</v>
      </c>
    </row>
    <row r="69" customFormat="false" ht="15" hidden="false" customHeight="false" outlineLevel="0" collapsed="false">
      <c r="A69" s="18" t="n">
        <v>46300</v>
      </c>
      <c r="B69" s="13" t="s">
        <v>167</v>
      </c>
      <c r="C69" s="25" t="n">
        <v>46</v>
      </c>
    </row>
    <row r="70" customFormat="false" ht="15" hidden="false" customHeight="false" outlineLevel="0" collapsed="false">
      <c r="A70" s="18" t="n">
        <v>46300</v>
      </c>
      <c r="B70" s="13" t="s">
        <v>203</v>
      </c>
      <c r="C70" s="25" t="n">
        <v>18606</v>
      </c>
    </row>
    <row r="71" customFormat="false" ht="15" hidden="false" customHeight="false" outlineLevel="0" collapsed="false">
      <c r="A71" s="18" t="n">
        <v>46300</v>
      </c>
      <c r="B71" s="13" t="s">
        <v>229</v>
      </c>
      <c r="C71" s="25" t="n">
        <v>417</v>
      </c>
    </row>
    <row r="72" customFormat="false" ht="15" hidden="false" customHeight="false" outlineLevel="0" collapsed="false">
      <c r="A72" s="18" t="n">
        <v>46300</v>
      </c>
      <c r="B72" s="13" t="s">
        <v>236</v>
      </c>
      <c r="C72" s="25" t="n">
        <v>20</v>
      </c>
    </row>
    <row r="73" customFormat="false" ht="15" hidden="false" customHeight="false" outlineLevel="0" collapsed="false">
      <c r="A73" s="18" t="n">
        <v>46300</v>
      </c>
      <c r="B73" s="13" t="s">
        <v>241</v>
      </c>
      <c r="C73" s="25" t="n">
        <v>86.25</v>
      </c>
    </row>
    <row r="74" customFormat="false" ht="15" hidden="false" customHeight="false" outlineLevel="0" collapsed="false">
      <c r="A74" s="18" t="n">
        <v>46300</v>
      </c>
      <c r="B74" s="13" t="s">
        <v>247</v>
      </c>
      <c r="C74" s="25" t="n">
        <v>3327</v>
      </c>
    </row>
    <row r="75" customFormat="false" ht="15" hidden="false" customHeight="false" outlineLevel="0" collapsed="false">
      <c r="A75" s="18" t="n">
        <v>46300</v>
      </c>
      <c r="B75" s="13" t="s">
        <v>260</v>
      </c>
      <c r="C75" s="25" t="n">
        <v>13.57</v>
      </c>
    </row>
    <row r="76" customFormat="false" ht="15" hidden="false" customHeight="false" outlineLevel="0" collapsed="false">
      <c r="A76" s="18" t="n">
        <v>46300</v>
      </c>
      <c r="B76" s="13" t="s">
        <v>265</v>
      </c>
      <c r="C76" s="25" t="n">
        <v>80.19</v>
      </c>
    </row>
    <row r="77" customFormat="false" ht="15" hidden="false" customHeight="false" outlineLevel="0" collapsed="false">
      <c r="A77" s="18" t="n">
        <v>46300</v>
      </c>
      <c r="B77" s="13" t="s">
        <v>270</v>
      </c>
      <c r="C77" s="25" t="n">
        <v>95.97</v>
      </c>
    </row>
    <row r="78" customFormat="false" ht="15" hidden="false" customHeight="false" outlineLevel="0" collapsed="false">
      <c r="A78" s="18" t="n">
        <v>46300</v>
      </c>
      <c r="B78" s="13" t="s">
        <v>275</v>
      </c>
      <c r="C78" s="25" t="n">
        <v>97.8</v>
      </c>
    </row>
    <row r="79" customFormat="false" ht="15" hidden="false" customHeight="false" outlineLevel="0" collapsed="false">
      <c r="A79" s="18" t="n">
        <v>46300</v>
      </c>
      <c r="B79" s="13" t="s">
        <v>281</v>
      </c>
      <c r="C79" s="25" t="n">
        <v>0.332</v>
      </c>
    </row>
    <row r="80" customFormat="false" ht="15" hidden="false" customHeight="false" outlineLevel="0" collapsed="false">
      <c r="A80" s="18" t="n">
        <v>46300</v>
      </c>
      <c r="B80" s="13" t="s">
        <v>290</v>
      </c>
      <c r="C80" s="25" t="n">
        <v>1.127</v>
      </c>
    </row>
    <row r="81" customFormat="false" ht="15" hidden="false" customHeight="false" outlineLevel="0" collapsed="false">
      <c r="A81" s="18" t="n">
        <v>46300</v>
      </c>
      <c r="B81" s="13" t="s">
        <v>299</v>
      </c>
      <c r="C81" s="25" t="n">
        <v>99.45</v>
      </c>
    </row>
    <row r="82" customFormat="false" ht="15" hidden="false" customHeight="false" outlineLevel="0" collapsed="false">
      <c r="A82" s="18" t="n">
        <v>46300</v>
      </c>
      <c r="B82" s="13" t="s">
        <v>304</v>
      </c>
      <c r="C82" s="25" t="n">
        <v>22.769</v>
      </c>
    </row>
    <row r="83" customFormat="false" ht="15" hidden="false" customHeight="false" outlineLevel="0" collapsed="false">
      <c r="A83" s="18" t="n">
        <v>46300</v>
      </c>
      <c r="B83" s="13" t="s">
        <v>310</v>
      </c>
      <c r="C83" s="25" t="n">
        <v>509.14</v>
      </c>
    </row>
    <row r="84" customFormat="false" ht="15" hidden="false" customHeight="false" outlineLevel="0" collapsed="false">
      <c r="A84" s="18" t="n">
        <v>46300</v>
      </c>
      <c r="B84" s="13" t="s">
        <v>327</v>
      </c>
      <c r="C84" s="25" t="n">
        <v>0.094</v>
      </c>
    </row>
    <row r="85" customFormat="false" ht="15" hidden="false" customHeight="false" outlineLevel="0" collapsed="false">
      <c r="A85" s="18" t="n">
        <v>46300</v>
      </c>
      <c r="B85" s="13" t="s">
        <v>336</v>
      </c>
      <c r="C85" s="25" t="n">
        <v>3.6</v>
      </c>
    </row>
    <row r="86" customFormat="false" ht="15" hidden="false" customHeight="false" outlineLevel="0" collapsed="false">
      <c r="A86" s="18" t="n">
        <v>46300</v>
      </c>
      <c r="B86" s="13" t="s">
        <v>342</v>
      </c>
      <c r="C86" s="25" t="n">
        <v>98.3</v>
      </c>
    </row>
    <row r="87" customFormat="false" ht="15" hidden="false" customHeight="false" outlineLevel="0" collapsed="false">
      <c r="A87" s="18" t="n">
        <v>46300</v>
      </c>
      <c r="B87" s="13" t="s">
        <v>347</v>
      </c>
      <c r="C87" s="25" t="n">
        <v>89.27</v>
      </c>
    </row>
    <row r="88" customFormat="false" ht="15" hidden="false" customHeight="false" outlineLevel="0" collapsed="false">
      <c r="A88" s="18" t="n">
        <v>46300</v>
      </c>
      <c r="B88" s="13" t="s">
        <v>364</v>
      </c>
      <c r="C88" s="25" t="n">
        <v>0.208</v>
      </c>
    </row>
    <row r="89" customFormat="false" ht="15" hidden="false" customHeight="false" outlineLevel="0" collapsed="false">
      <c r="A89" s="18" t="n">
        <v>46301</v>
      </c>
      <c r="B89" s="13" t="s">
        <v>70</v>
      </c>
      <c r="C89" s="25" t="n">
        <v>26.202</v>
      </c>
    </row>
    <row r="90" customFormat="false" ht="15" hidden="false" customHeight="false" outlineLevel="0" collapsed="false">
      <c r="A90" s="18" t="n">
        <v>46301</v>
      </c>
      <c r="B90" s="13" t="s">
        <v>82</v>
      </c>
      <c r="C90" s="25" t="n">
        <v>5.672</v>
      </c>
    </row>
    <row r="91" customFormat="false" ht="15" hidden="false" customHeight="false" outlineLevel="0" collapsed="false">
      <c r="A91" s="18" t="n">
        <v>46301</v>
      </c>
      <c r="B91" s="13" t="s">
        <v>98</v>
      </c>
      <c r="C91" s="25" t="n">
        <v>3.953</v>
      </c>
    </row>
    <row r="92" customFormat="false" ht="15" hidden="false" customHeight="false" outlineLevel="0" collapsed="false">
      <c r="A92" s="18" t="n">
        <v>46301</v>
      </c>
      <c r="B92" s="13" t="s">
        <v>123</v>
      </c>
      <c r="C92" s="25" t="n">
        <v>1.248</v>
      </c>
    </row>
    <row r="93" customFormat="false" ht="15" hidden="false" customHeight="false" outlineLevel="0" collapsed="false">
      <c r="A93" s="18" t="n">
        <v>46301</v>
      </c>
      <c r="B93" s="13" t="s">
        <v>133</v>
      </c>
      <c r="C93" s="25" t="n">
        <v>1.132</v>
      </c>
    </row>
    <row r="94" customFormat="false" ht="15" hidden="false" customHeight="false" outlineLevel="0" collapsed="false">
      <c r="A94" s="18" t="n">
        <v>46301</v>
      </c>
      <c r="B94" s="13" t="s">
        <v>139</v>
      </c>
      <c r="C94" s="25" t="n">
        <v>199.73</v>
      </c>
    </row>
    <row r="95" customFormat="false" ht="15" hidden="false" customHeight="false" outlineLevel="0" collapsed="false">
      <c r="A95" s="18" t="n">
        <v>46301</v>
      </c>
      <c r="B95" s="13" t="s">
        <v>146</v>
      </c>
      <c r="C95" s="25" t="n">
        <v>30.87</v>
      </c>
    </row>
    <row r="96" customFormat="false" ht="15" hidden="false" customHeight="false" outlineLevel="0" collapsed="false">
      <c r="A96" s="18" t="n">
        <v>46301</v>
      </c>
      <c r="B96" s="13" t="s">
        <v>153</v>
      </c>
      <c r="C96" s="25" t="n">
        <v>6.95</v>
      </c>
    </row>
    <row r="97" customFormat="false" ht="15" hidden="false" customHeight="false" outlineLevel="0" collapsed="false">
      <c r="A97" s="18" t="n">
        <v>46301</v>
      </c>
      <c r="B97" s="13" t="s">
        <v>159</v>
      </c>
      <c r="C97" s="25" t="n">
        <v>34.14</v>
      </c>
    </row>
    <row r="98" customFormat="false" ht="15" hidden="false" customHeight="false" outlineLevel="0" collapsed="false">
      <c r="A98" s="18" t="n">
        <v>46301</v>
      </c>
      <c r="B98" s="13" t="s">
        <v>167</v>
      </c>
      <c r="C98" s="25" t="n">
        <v>45.9</v>
      </c>
    </row>
    <row r="99" customFormat="false" ht="15" hidden="false" customHeight="false" outlineLevel="0" collapsed="false">
      <c r="A99" s="18" t="n">
        <v>46301</v>
      </c>
      <c r="B99" s="13" t="s">
        <v>203</v>
      </c>
      <c r="C99" s="25" t="n">
        <v>18621</v>
      </c>
    </row>
    <row r="100" customFormat="false" ht="15" hidden="false" customHeight="false" outlineLevel="0" collapsed="false">
      <c r="A100" s="18" t="n">
        <v>46301</v>
      </c>
      <c r="B100" s="13" t="s">
        <v>229</v>
      </c>
      <c r="C100" s="25" t="n">
        <v>491</v>
      </c>
    </row>
    <row r="101" customFormat="false" ht="15" hidden="false" customHeight="false" outlineLevel="0" collapsed="false">
      <c r="A101" s="18" t="n">
        <v>46301</v>
      </c>
      <c r="B101" s="13" t="s">
        <v>236</v>
      </c>
      <c r="C101" s="25" t="n">
        <v>17</v>
      </c>
    </row>
    <row r="102" customFormat="false" ht="15" hidden="false" customHeight="false" outlineLevel="0" collapsed="false">
      <c r="A102" s="18" t="n">
        <v>46301</v>
      </c>
      <c r="B102" s="13" t="s">
        <v>241</v>
      </c>
      <c r="C102" s="25" t="n">
        <v>85.87</v>
      </c>
    </row>
    <row r="103" customFormat="false" ht="15" hidden="false" customHeight="false" outlineLevel="0" collapsed="false">
      <c r="A103" s="18" t="n">
        <v>46301</v>
      </c>
      <c r="B103" s="13" t="s">
        <v>247</v>
      </c>
      <c r="C103" s="25" t="n">
        <v>3728</v>
      </c>
    </row>
    <row r="104" customFormat="false" ht="15" hidden="false" customHeight="false" outlineLevel="0" collapsed="false">
      <c r="A104" s="18" t="n">
        <v>46301</v>
      </c>
      <c r="B104" s="13" t="s">
        <v>260</v>
      </c>
      <c r="C104" s="25" t="n">
        <v>13.79</v>
      </c>
    </row>
    <row r="105" customFormat="false" ht="15" hidden="false" customHeight="false" outlineLevel="0" collapsed="false">
      <c r="A105" s="18" t="n">
        <v>46301</v>
      </c>
      <c r="B105" s="13" t="s">
        <v>265</v>
      </c>
      <c r="C105" s="25" t="n">
        <v>80.74</v>
      </c>
    </row>
    <row r="106" customFormat="false" ht="15" hidden="false" customHeight="false" outlineLevel="0" collapsed="false">
      <c r="A106" s="18" t="n">
        <v>46301</v>
      </c>
      <c r="B106" s="13" t="s">
        <v>270</v>
      </c>
      <c r="C106" s="25" t="n">
        <v>95.58</v>
      </c>
    </row>
    <row r="107" customFormat="false" ht="15" hidden="false" customHeight="false" outlineLevel="0" collapsed="false">
      <c r="A107" s="18" t="n">
        <v>46301</v>
      </c>
      <c r="B107" s="13" t="s">
        <v>275</v>
      </c>
      <c r="C107" s="25" t="n">
        <v>97.8</v>
      </c>
    </row>
    <row r="108" customFormat="false" ht="15" hidden="false" customHeight="false" outlineLevel="0" collapsed="false">
      <c r="A108" s="18" t="n">
        <v>46301</v>
      </c>
      <c r="B108" s="13" t="s">
        <v>281</v>
      </c>
      <c r="C108" s="25" t="n">
        <v>0.402</v>
      </c>
    </row>
    <row r="109" customFormat="false" ht="15" hidden="false" customHeight="false" outlineLevel="0" collapsed="false">
      <c r="A109" s="18" t="n">
        <v>46301</v>
      </c>
      <c r="B109" s="13" t="s">
        <v>290</v>
      </c>
      <c r="C109" s="25" t="n">
        <v>0.901</v>
      </c>
    </row>
    <row r="110" customFormat="false" ht="15" hidden="false" customHeight="false" outlineLevel="0" collapsed="false">
      <c r="A110" s="18" t="n">
        <v>46301</v>
      </c>
      <c r="B110" s="13" t="s">
        <v>299</v>
      </c>
      <c r="C110" s="25" t="n">
        <v>98.94</v>
      </c>
    </row>
    <row r="111" customFormat="false" ht="15" hidden="false" customHeight="false" outlineLevel="0" collapsed="false">
      <c r="A111" s="18" t="n">
        <v>46301</v>
      </c>
      <c r="B111" s="13" t="s">
        <v>304</v>
      </c>
      <c r="C111" s="25" t="n">
        <v>26.69</v>
      </c>
    </row>
    <row r="112" customFormat="false" ht="15" hidden="false" customHeight="false" outlineLevel="0" collapsed="false">
      <c r="A112" s="18" t="n">
        <v>46301</v>
      </c>
      <c r="B112" s="13" t="s">
        <v>310</v>
      </c>
      <c r="C112" s="25" t="n">
        <v>507.34</v>
      </c>
    </row>
    <row r="113" customFormat="false" ht="15" hidden="false" customHeight="false" outlineLevel="0" collapsed="false">
      <c r="A113" s="18" t="n">
        <v>46301</v>
      </c>
      <c r="B113" s="13" t="s">
        <v>327</v>
      </c>
      <c r="C113" s="25" t="n">
        <v>0.082</v>
      </c>
    </row>
    <row r="114" customFormat="false" ht="15" hidden="false" customHeight="false" outlineLevel="0" collapsed="false">
      <c r="A114" s="18" t="n">
        <v>46301</v>
      </c>
      <c r="B114" s="13" t="s">
        <v>336</v>
      </c>
      <c r="C114" s="25" t="n">
        <v>3.31</v>
      </c>
    </row>
    <row r="115" customFormat="false" ht="15" hidden="false" customHeight="false" outlineLevel="0" collapsed="false">
      <c r="A115" s="18" t="n">
        <v>46301</v>
      </c>
      <c r="B115" s="13" t="s">
        <v>342</v>
      </c>
      <c r="C115" s="25" t="n">
        <v>98.11</v>
      </c>
    </row>
    <row r="116" customFormat="false" ht="15" hidden="false" customHeight="false" outlineLevel="0" collapsed="false">
      <c r="A116" s="18" t="n">
        <v>46301</v>
      </c>
      <c r="B116" s="13" t="s">
        <v>347</v>
      </c>
      <c r="C116" s="25" t="n">
        <v>89</v>
      </c>
    </row>
    <row r="117" customFormat="false" ht="15" hidden="false" customHeight="false" outlineLevel="0" collapsed="false">
      <c r="A117" s="18" t="n">
        <v>46301</v>
      </c>
      <c r="B117" s="13" t="s">
        <v>364</v>
      </c>
      <c r="C117" s="25" t="n">
        <v>0.16</v>
      </c>
    </row>
    <row r="118" customFormat="false" ht="15" hidden="false" customHeight="false" outlineLevel="0" collapsed="false">
      <c r="A118" s="18" t="n">
        <v>46302</v>
      </c>
      <c r="B118" s="13" t="s">
        <v>70</v>
      </c>
      <c r="C118" s="25" t="n">
        <v>24.649</v>
      </c>
    </row>
    <row r="119" customFormat="false" ht="15" hidden="false" customHeight="false" outlineLevel="0" collapsed="false">
      <c r="A119" s="18" t="n">
        <v>46302</v>
      </c>
      <c r="B119" s="13" t="s">
        <v>82</v>
      </c>
      <c r="C119" s="25" t="n">
        <v>5.791</v>
      </c>
    </row>
    <row r="120" customFormat="false" ht="15" hidden="false" customHeight="false" outlineLevel="0" collapsed="false">
      <c r="A120" s="18" t="n">
        <v>46302</v>
      </c>
      <c r="B120" s="13" t="s">
        <v>98</v>
      </c>
      <c r="C120" s="25" t="n">
        <v>4.684</v>
      </c>
    </row>
    <row r="121" customFormat="false" ht="15" hidden="false" customHeight="false" outlineLevel="0" collapsed="false">
      <c r="A121" s="18" t="n">
        <v>46302</v>
      </c>
      <c r="B121" s="13" t="s">
        <v>123</v>
      </c>
      <c r="C121" s="25" t="n">
        <v>1.375</v>
      </c>
    </row>
    <row r="122" customFormat="false" ht="15" hidden="false" customHeight="false" outlineLevel="0" collapsed="false">
      <c r="A122" s="18" t="n">
        <v>46302</v>
      </c>
      <c r="B122" s="13" t="s">
        <v>133</v>
      </c>
      <c r="C122" s="25" t="n">
        <v>0.986</v>
      </c>
    </row>
    <row r="123" customFormat="false" ht="15" hidden="false" customHeight="false" outlineLevel="0" collapsed="false">
      <c r="A123" s="18" t="n">
        <v>46302</v>
      </c>
      <c r="B123" s="13" t="s">
        <v>139</v>
      </c>
      <c r="C123" s="25" t="n">
        <v>197.15</v>
      </c>
    </row>
    <row r="124" customFormat="false" ht="15" hidden="false" customHeight="false" outlineLevel="0" collapsed="false">
      <c r="A124" s="18" t="n">
        <v>46302</v>
      </c>
      <c r="B124" s="13" t="s">
        <v>146</v>
      </c>
      <c r="C124" s="25" t="n">
        <v>30.46</v>
      </c>
    </row>
    <row r="125" customFormat="false" ht="15" hidden="false" customHeight="false" outlineLevel="0" collapsed="false">
      <c r="A125" s="18" t="n">
        <v>46302</v>
      </c>
      <c r="B125" s="13" t="s">
        <v>153</v>
      </c>
      <c r="C125" s="25" t="n">
        <v>6.99</v>
      </c>
    </row>
    <row r="126" customFormat="false" ht="15" hidden="false" customHeight="false" outlineLevel="0" collapsed="false">
      <c r="A126" s="18" t="n">
        <v>46302</v>
      </c>
      <c r="B126" s="13" t="s">
        <v>159</v>
      </c>
      <c r="C126" s="25" t="n">
        <v>33.89</v>
      </c>
    </row>
    <row r="127" customFormat="false" ht="15" hidden="false" customHeight="false" outlineLevel="0" collapsed="false">
      <c r="A127" s="18" t="n">
        <v>46302</v>
      </c>
      <c r="B127" s="13" t="s">
        <v>167</v>
      </c>
      <c r="C127" s="25" t="n">
        <v>46.1</v>
      </c>
    </row>
    <row r="128" customFormat="false" ht="15" hidden="false" customHeight="false" outlineLevel="0" collapsed="false">
      <c r="A128" s="18" t="n">
        <v>46302</v>
      </c>
      <c r="B128" s="13" t="s">
        <v>203</v>
      </c>
      <c r="C128" s="25" t="n">
        <v>18687</v>
      </c>
    </row>
    <row r="129" customFormat="false" ht="15" hidden="false" customHeight="false" outlineLevel="0" collapsed="false">
      <c r="A129" s="18" t="n">
        <v>46302</v>
      </c>
      <c r="B129" s="13" t="s">
        <v>229</v>
      </c>
      <c r="C129" s="25" t="n">
        <v>451</v>
      </c>
    </row>
    <row r="130" customFormat="false" ht="15" hidden="false" customHeight="false" outlineLevel="0" collapsed="false">
      <c r="A130" s="18" t="n">
        <v>46302</v>
      </c>
      <c r="B130" s="13" t="s">
        <v>236</v>
      </c>
      <c r="C130" s="25" t="n">
        <v>19</v>
      </c>
    </row>
    <row r="131" customFormat="false" ht="15" hidden="false" customHeight="false" outlineLevel="0" collapsed="false">
      <c r="A131" s="18" t="n">
        <v>46302</v>
      </c>
      <c r="B131" s="13" t="s">
        <v>241</v>
      </c>
      <c r="C131" s="25" t="n">
        <v>85.58</v>
      </c>
    </row>
    <row r="132" customFormat="false" ht="15" hidden="false" customHeight="false" outlineLevel="0" collapsed="false">
      <c r="A132" s="18" t="n">
        <v>46302</v>
      </c>
      <c r="B132" s="13" t="s">
        <v>247</v>
      </c>
      <c r="C132" s="25" t="n">
        <v>2918</v>
      </c>
    </row>
    <row r="133" customFormat="false" ht="15" hidden="false" customHeight="false" outlineLevel="0" collapsed="false">
      <c r="A133" s="18" t="n">
        <v>46302</v>
      </c>
      <c r="B133" s="13" t="s">
        <v>260</v>
      </c>
      <c r="C133" s="25" t="n">
        <v>13.37</v>
      </c>
    </row>
    <row r="134" customFormat="false" ht="15" hidden="false" customHeight="false" outlineLevel="0" collapsed="false">
      <c r="A134" s="18" t="n">
        <v>46302</v>
      </c>
      <c r="B134" s="13" t="s">
        <v>265</v>
      </c>
      <c r="C134" s="25" t="n">
        <v>79.8</v>
      </c>
    </row>
    <row r="135" customFormat="false" ht="15" hidden="false" customHeight="false" outlineLevel="0" collapsed="false">
      <c r="A135" s="18" t="n">
        <v>46302</v>
      </c>
      <c r="B135" s="13" t="s">
        <v>270</v>
      </c>
      <c r="C135" s="25" t="n">
        <v>95.48</v>
      </c>
    </row>
    <row r="136" customFormat="false" ht="15" hidden="false" customHeight="false" outlineLevel="0" collapsed="false">
      <c r="A136" s="18" t="n">
        <v>46302</v>
      </c>
      <c r="B136" s="13" t="s">
        <v>275</v>
      </c>
      <c r="C136" s="25" t="n">
        <v>97.07</v>
      </c>
    </row>
    <row r="137" customFormat="false" ht="15" hidden="false" customHeight="false" outlineLevel="0" collapsed="false">
      <c r="A137" s="18" t="n">
        <v>46302</v>
      </c>
      <c r="B137" s="13" t="s">
        <v>281</v>
      </c>
      <c r="C137" s="25" t="n">
        <v>0.339</v>
      </c>
    </row>
    <row r="138" customFormat="false" ht="15" hidden="false" customHeight="false" outlineLevel="0" collapsed="false">
      <c r="A138" s="18" t="n">
        <v>46302</v>
      </c>
      <c r="B138" s="13" t="s">
        <v>290</v>
      </c>
      <c r="C138" s="25" t="n">
        <v>1.152</v>
      </c>
    </row>
    <row r="139" customFormat="false" ht="15" hidden="false" customHeight="false" outlineLevel="0" collapsed="false">
      <c r="A139" s="18" t="n">
        <v>46302</v>
      </c>
      <c r="B139" s="13" t="s">
        <v>299</v>
      </c>
      <c r="C139" s="25" t="n">
        <v>99.19</v>
      </c>
    </row>
    <row r="140" customFormat="false" ht="15" hidden="false" customHeight="false" outlineLevel="0" collapsed="false">
      <c r="A140" s="18" t="n">
        <v>46302</v>
      </c>
      <c r="B140" s="13" t="s">
        <v>304</v>
      </c>
      <c r="C140" s="25" t="n">
        <v>26.811</v>
      </c>
    </row>
    <row r="141" customFormat="false" ht="15" hidden="false" customHeight="false" outlineLevel="0" collapsed="false">
      <c r="A141" s="18" t="n">
        <v>46302</v>
      </c>
      <c r="B141" s="13" t="s">
        <v>310</v>
      </c>
      <c r="C141" s="25" t="n">
        <v>512.5</v>
      </c>
    </row>
    <row r="142" customFormat="false" ht="15" hidden="false" customHeight="false" outlineLevel="0" collapsed="false">
      <c r="A142" s="18" t="n">
        <v>46302</v>
      </c>
      <c r="B142" s="13" t="s">
        <v>327</v>
      </c>
      <c r="C142" s="25" t="n">
        <v>0.094</v>
      </c>
    </row>
    <row r="143" customFormat="false" ht="15" hidden="false" customHeight="false" outlineLevel="0" collapsed="false">
      <c r="A143" s="18" t="n">
        <v>46302</v>
      </c>
      <c r="B143" s="13" t="s">
        <v>336</v>
      </c>
      <c r="C143" s="25" t="n">
        <v>3.62</v>
      </c>
    </row>
    <row r="144" customFormat="false" ht="15" hidden="false" customHeight="false" outlineLevel="0" collapsed="false">
      <c r="A144" s="18" t="n">
        <v>46302</v>
      </c>
      <c r="B144" s="13" t="s">
        <v>342</v>
      </c>
      <c r="C144" s="25" t="n">
        <v>98.3</v>
      </c>
    </row>
    <row r="145" customFormat="false" ht="15" hidden="false" customHeight="false" outlineLevel="0" collapsed="false">
      <c r="A145" s="18" t="n">
        <v>46302</v>
      </c>
      <c r="B145" s="13" t="s">
        <v>347</v>
      </c>
      <c r="C145" s="25" t="n">
        <v>90.27</v>
      </c>
    </row>
    <row r="146" customFormat="false" ht="15" hidden="false" customHeight="false" outlineLevel="0" collapsed="false">
      <c r="A146" s="18" t="n">
        <v>46302</v>
      </c>
      <c r="B146" s="13" t="s">
        <v>364</v>
      </c>
      <c r="C146" s="25" t="n">
        <v>0.176</v>
      </c>
    </row>
    <row r="147" customFormat="false" ht="15" hidden="false" customHeight="false" outlineLevel="0" collapsed="false">
      <c r="A147" s="18" t="n">
        <v>46303</v>
      </c>
      <c r="B147" s="13" t="s">
        <v>70</v>
      </c>
      <c r="C147" s="25" t="n">
        <v>24.387</v>
      </c>
    </row>
    <row r="148" customFormat="false" ht="15" hidden="false" customHeight="false" outlineLevel="0" collapsed="false">
      <c r="A148" s="18" t="n">
        <v>46303</v>
      </c>
      <c r="B148" s="13" t="s">
        <v>82</v>
      </c>
      <c r="C148" s="25" t="n">
        <v>5.952</v>
      </c>
    </row>
    <row r="149" customFormat="false" ht="15" hidden="false" customHeight="false" outlineLevel="0" collapsed="false">
      <c r="A149" s="18" t="n">
        <v>46303</v>
      </c>
      <c r="B149" s="13" t="s">
        <v>98</v>
      </c>
      <c r="C149" s="25" t="n">
        <v>4.09</v>
      </c>
    </row>
    <row r="150" customFormat="false" ht="15" hidden="false" customHeight="false" outlineLevel="0" collapsed="false">
      <c r="A150" s="18" t="n">
        <v>46303</v>
      </c>
      <c r="B150" s="13" t="s">
        <v>123</v>
      </c>
      <c r="C150" s="25" t="n">
        <v>1.171</v>
      </c>
    </row>
    <row r="151" customFormat="false" ht="15" hidden="false" customHeight="false" outlineLevel="0" collapsed="false">
      <c r="A151" s="18" t="n">
        <v>46303</v>
      </c>
      <c r="B151" s="13" t="s">
        <v>133</v>
      </c>
      <c r="C151" s="25" t="n">
        <v>0.924</v>
      </c>
    </row>
    <row r="152" customFormat="false" ht="15" hidden="false" customHeight="false" outlineLevel="0" collapsed="false">
      <c r="A152" s="18" t="n">
        <v>46303</v>
      </c>
      <c r="B152" s="13" t="s">
        <v>139</v>
      </c>
      <c r="C152" s="25" t="n">
        <v>199.1</v>
      </c>
    </row>
    <row r="153" customFormat="false" ht="15" hidden="false" customHeight="false" outlineLevel="0" collapsed="false">
      <c r="A153" s="18" t="n">
        <v>46303</v>
      </c>
      <c r="B153" s="13" t="s">
        <v>146</v>
      </c>
      <c r="C153" s="25" t="n">
        <v>30.97</v>
      </c>
    </row>
    <row r="154" customFormat="false" ht="15" hidden="false" customHeight="false" outlineLevel="0" collapsed="false">
      <c r="A154" s="18" t="n">
        <v>46303</v>
      </c>
      <c r="B154" s="13" t="s">
        <v>153</v>
      </c>
      <c r="C154" s="25" t="n">
        <v>7.05</v>
      </c>
    </row>
    <row r="155" customFormat="false" ht="15" hidden="false" customHeight="false" outlineLevel="0" collapsed="false">
      <c r="A155" s="18" t="n">
        <v>46303</v>
      </c>
      <c r="B155" s="13" t="s">
        <v>159</v>
      </c>
      <c r="C155" s="25" t="n">
        <v>34.12</v>
      </c>
    </row>
    <row r="156" customFormat="false" ht="15" hidden="false" customHeight="false" outlineLevel="0" collapsed="false">
      <c r="A156" s="18" t="n">
        <v>46303</v>
      </c>
      <c r="B156" s="13" t="s">
        <v>167</v>
      </c>
      <c r="C156" s="25" t="n">
        <v>46</v>
      </c>
    </row>
    <row r="157" customFormat="false" ht="15" hidden="false" customHeight="false" outlineLevel="0" collapsed="false">
      <c r="A157" s="18" t="n">
        <v>46303</v>
      </c>
      <c r="B157" s="13" t="s">
        <v>203</v>
      </c>
      <c r="C157" s="25" t="n">
        <v>18679</v>
      </c>
    </row>
    <row r="158" customFormat="false" ht="15" hidden="false" customHeight="false" outlineLevel="0" collapsed="false">
      <c r="A158" s="18" t="n">
        <v>46303</v>
      </c>
      <c r="B158" s="13" t="s">
        <v>229</v>
      </c>
      <c r="C158" s="25" t="n">
        <v>434</v>
      </c>
    </row>
    <row r="159" customFormat="false" ht="15" hidden="false" customHeight="false" outlineLevel="0" collapsed="false">
      <c r="A159" s="18" t="n">
        <v>46303</v>
      </c>
      <c r="B159" s="13" t="s">
        <v>236</v>
      </c>
      <c r="C159" s="25" t="n">
        <v>17</v>
      </c>
    </row>
    <row r="160" customFormat="false" ht="15" hidden="false" customHeight="false" outlineLevel="0" collapsed="false">
      <c r="A160" s="18" t="n">
        <v>46303</v>
      </c>
      <c r="B160" s="13" t="s">
        <v>241</v>
      </c>
      <c r="C160" s="25" t="n">
        <v>85.44</v>
      </c>
    </row>
    <row r="161" customFormat="false" ht="15" hidden="false" customHeight="false" outlineLevel="0" collapsed="false">
      <c r="A161" s="18" t="n">
        <v>46303</v>
      </c>
      <c r="B161" s="13" t="s">
        <v>247</v>
      </c>
      <c r="C161" s="25" t="n">
        <v>3297</v>
      </c>
    </row>
    <row r="162" customFormat="false" ht="15" hidden="false" customHeight="false" outlineLevel="0" collapsed="false">
      <c r="A162" s="18" t="n">
        <v>46303</v>
      </c>
      <c r="B162" s="13" t="s">
        <v>260</v>
      </c>
      <c r="C162" s="25" t="n">
        <v>13.8</v>
      </c>
    </row>
    <row r="163" customFormat="false" ht="15" hidden="false" customHeight="false" outlineLevel="0" collapsed="false">
      <c r="A163" s="18" t="n">
        <v>46303</v>
      </c>
      <c r="B163" s="13" t="s">
        <v>265</v>
      </c>
      <c r="C163" s="25" t="n">
        <v>80.44</v>
      </c>
    </row>
    <row r="164" customFormat="false" ht="15" hidden="false" customHeight="false" outlineLevel="0" collapsed="false">
      <c r="A164" s="18" t="n">
        <v>46303</v>
      </c>
      <c r="B164" s="13" t="s">
        <v>270</v>
      </c>
      <c r="C164" s="25" t="n">
        <v>95.43</v>
      </c>
    </row>
    <row r="165" customFormat="false" ht="15" hidden="false" customHeight="false" outlineLevel="0" collapsed="false">
      <c r="A165" s="18" t="n">
        <v>46303</v>
      </c>
      <c r="B165" s="13" t="s">
        <v>275</v>
      </c>
      <c r="C165" s="25" t="n">
        <v>97.13</v>
      </c>
    </row>
    <row r="166" customFormat="false" ht="15" hidden="false" customHeight="false" outlineLevel="0" collapsed="false">
      <c r="A166" s="18" t="n">
        <v>46303</v>
      </c>
      <c r="B166" s="13" t="s">
        <v>281</v>
      </c>
      <c r="C166" s="25" t="n">
        <v>0.359</v>
      </c>
    </row>
    <row r="167" customFormat="false" ht="15" hidden="false" customHeight="false" outlineLevel="0" collapsed="false">
      <c r="A167" s="18" t="n">
        <v>46303</v>
      </c>
      <c r="B167" s="13" t="s">
        <v>290</v>
      </c>
      <c r="C167" s="25" t="n">
        <v>0.926</v>
      </c>
    </row>
    <row r="168" customFormat="false" ht="15" hidden="false" customHeight="false" outlineLevel="0" collapsed="false">
      <c r="A168" s="18" t="n">
        <v>46303</v>
      </c>
      <c r="B168" s="13" t="s">
        <v>299</v>
      </c>
      <c r="C168" s="25" t="n">
        <v>99.19</v>
      </c>
    </row>
    <row r="169" customFormat="false" ht="15" hidden="false" customHeight="false" outlineLevel="0" collapsed="false">
      <c r="A169" s="18" t="n">
        <v>46303</v>
      </c>
      <c r="B169" s="13" t="s">
        <v>304</v>
      </c>
      <c r="C169" s="25" t="n">
        <v>24.424</v>
      </c>
    </row>
    <row r="170" customFormat="false" ht="15" hidden="false" customHeight="false" outlineLevel="0" collapsed="false">
      <c r="A170" s="18" t="n">
        <v>46303</v>
      </c>
      <c r="B170" s="13" t="s">
        <v>310</v>
      </c>
      <c r="C170" s="25" t="n">
        <v>507.45</v>
      </c>
    </row>
    <row r="171" customFormat="false" ht="15" hidden="false" customHeight="false" outlineLevel="0" collapsed="false">
      <c r="A171" s="18" t="n">
        <v>46303</v>
      </c>
      <c r="B171" s="13" t="s">
        <v>327</v>
      </c>
      <c r="C171" s="25" t="n">
        <v>0.091</v>
      </c>
    </row>
    <row r="172" customFormat="false" ht="15" hidden="false" customHeight="false" outlineLevel="0" collapsed="false">
      <c r="A172" s="18" t="n">
        <v>46303</v>
      </c>
      <c r="B172" s="13" t="s">
        <v>336</v>
      </c>
      <c r="C172" s="25" t="n">
        <v>3.28</v>
      </c>
    </row>
    <row r="173" customFormat="false" ht="15" hidden="false" customHeight="false" outlineLevel="0" collapsed="false">
      <c r="A173" s="18" t="n">
        <v>46303</v>
      </c>
      <c r="B173" s="13" t="s">
        <v>342</v>
      </c>
      <c r="C173" s="25" t="n">
        <v>98.09</v>
      </c>
    </row>
    <row r="174" customFormat="false" ht="15" hidden="false" customHeight="false" outlineLevel="0" collapsed="false">
      <c r="A174" s="18" t="n">
        <v>46303</v>
      </c>
      <c r="B174" s="13" t="s">
        <v>347</v>
      </c>
      <c r="C174" s="25" t="n">
        <v>89.98</v>
      </c>
    </row>
    <row r="175" customFormat="false" ht="15" hidden="false" customHeight="false" outlineLevel="0" collapsed="false">
      <c r="A175" s="18" t="n">
        <v>46303</v>
      </c>
      <c r="B175" s="13" t="s">
        <v>364</v>
      </c>
      <c r="C175" s="25" t="n">
        <v>0.198</v>
      </c>
    </row>
    <row r="176" customFormat="false" ht="15" hidden="false" customHeight="false" outlineLevel="0" collapsed="false">
      <c r="A176" s="18" t="n">
        <v>46304</v>
      </c>
      <c r="B176" s="13" t="s">
        <v>70</v>
      </c>
      <c r="C176" s="25" t="n">
        <v>28.799</v>
      </c>
    </row>
    <row r="177" customFormat="false" ht="15" hidden="false" customHeight="false" outlineLevel="0" collapsed="false">
      <c r="A177" s="18" t="n">
        <v>46304</v>
      </c>
      <c r="B177" s="13" t="s">
        <v>82</v>
      </c>
      <c r="C177" s="25" t="n">
        <v>5.656</v>
      </c>
    </row>
    <row r="178" customFormat="false" ht="15" hidden="false" customHeight="false" outlineLevel="0" collapsed="false">
      <c r="A178" s="18" t="n">
        <v>46304</v>
      </c>
      <c r="B178" s="13" t="s">
        <v>98</v>
      </c>
      <c r="C178" s="25" t="n">
        <v>3.752</v>
      </c>
    </row>
    <row r="179" customFormat="false" ht="15" hidden="false" customHeight="false" outlineLevel="0" collapsed="false">
      <c r="A179" s="18" t="n">
        <v>46304</v>
      </c>
      <c r="B179" s="13" t="s">
        <v>123</v>
      </c>
      <c r="C179" s="25" t="n">
        <v>1.351</v>
      </c>
    </row>
    <row r="180" customFormat="false" ht="15" hidden="false" customHeight="false" outlineLevel="0" collapsed="false">
      <c r="A180" s="18" t="n">
        <v>46304</v>
      </c>
      <c r="B180" s="13" t="s">
        <v>133</v>
      </c>
      <c r="C180" s="25" t="n">
        <v>1.026</v>
      </c>
    </row>
    <row r="181" customFormat="false" ht="15" hidden="false" customHeight="false" outlineLevel="0" collapsed="false">
      <c r="A181" s="18" t="n">
        <v>46304</v>
      </c>
      <c r="B181" s="13" t="s">
        <v>139</v>
      </c>
      <c r="C181" s="25" t="n">
        <v>192.01</v>
      </c>
    </row>
    <row r="182" customFormat="false" ht="15" hidden="false" customHeight="false" outlineLevel="0" collapsed="false">
      <c r="A182" s="18" t="n">
        <v>46304</v>
      </c>
      <c r="B182" s="13" t="s">
        <v>146</v>
      </c>
      <c r="C182" s="25" t="n">
        <v>30.65</v>
      </c>
    </row>
    <row r="183" customFormat="false" ht="15" hidden="false" customHeight="false" outlineLevel="0" collapsed="false">
      <c r="A183" s="18" t="n">
        <v>46304</v>
      </c>
      <c r="B183" s="13" t="s">
        <v>153</v>
      </c>
      <c r="C183" s="25" t="n">
        <v>7.24</v>
      </c>
    </row>
    <row r="184" customFormat="false" ht="15" hidden="false" customHeight="false" outlineLevel="0" collapsed="false">
      <c r="A184" s="18" t="n">
        <v>46304</v>
      </c>
      <c r="B184" s="13" t="s">
        <v>159</v>
      </c>
      <c r="C184" s="25" t="n">
        <v>34.01</v>
      </c>
    </row>
    <row r="185" customFormat="false" ht="15" hidden="false" customHeight="false" outlineLevel="0" collapsed="false">
      <c r="A185" s="18" t="n">
        <v>46304</v>
      </c>
      <c r="B185" s="13" t="s">
        <v>167</v>
      </c>
      <c r="C185" s="25" t="n">
        <v>46.32</v>
      </c>
    </row>
    <row r="186" customFormat="false" ht="15" hidden="false" customHeight="false" outlineLevel="0" collapsed="false">
      <c r="A186" s="18" t="n">
        <v>46304</v>
      </c>
      <c r="B186" s="13" t="s">
        <v>203</v>
      </c>
      <c r="C186" s="25" t="n">
        <v>18705</v>
      </c>
    </row>
    <row r="187" customFormat="false" ht="15" hidden="false" customHeight="false" outlineLevel="0" collapsed="false">
      <c r="A187" s="18" t="n">
        <v>46304</v>
      </c>
      <c r="B187" s="13" t="s">
        <v>229</v>
      </c>
      <c r="C187" s="25" t="n">
        <v>437</v>
      </c>
    </row>
    <row r="188" customFormat="false" ht="15" hidden="false" customHeight="false" outlineLevel="0" collapsed="false">
      <c r="A188" s="18" t="n">
        <v>46304</v>
      </c>
      <c r="B188" s="13" t="s">
        <v>236</v>
      </c>
      <c r="C188" s="25" t="n">
        <v>20</v>
      </c>
    </row>
    <row r="189" customFormat="false" ht="15" hidden="false" customHeight="false" outlineLevel="0" collapsed="false">
      <c r="A189" s="18" t="n">
        <v>46304</v>
      </c>
      <c r="B189" s="13" t="s">
        <v>241</v>
      </c>
      <c r="C189" s="25" t="n">
        <v>85.66</v>
      </c>
    </row>
    <row r="190" customFormat="false" ht="15" hidden="false" customHeight="false" outlineLevel="0" collapsed="false">
      <c r="A190" s="18" t="n">
        <v>46304</v>
      </c>
      <c r="B190" s="13" t="s">
        <v>247</v>
      </c>
      <c r="C190" s="25" t="n">
        <v>3609</v>
      </c>
    </row>
    <row r="191" customFormat="false" ht="15" hidden="false" customHeight="false" outlineLevel="0" collapsed="false">
      <c r="A191" s="18" t="n">
        <v>46304</v>
      </c>
      <c r="B191" s="13" t="s">
        <v>260</v>
      </c>
      <c r="C191" s="25" t="n">
        <v>13.31</v>
      </c>
    </row>
    <row r="192" customFormat="false" ht="15" hidden="false" customHeight="false" outlineLevel="0" collapsed="false">
      <c r="A192" s="18" t="n">
        <v>46304</v>
      </c>
      <c r="B192" s="13" t="s">
        <v>265</v>
      </c>
      <c r="C192" s="25" t="n">
        <v>80.17</v>
      </c>
    </row>
    <row r="193" customFormat="false" ht="15" hidden="false" customHeight="false" outlineLevel="0" collapsed="false">
      <c r="A193" s="18" t="n">
        <v>46304</v>
      </c>
      <c r="B193" s="13" t="s">
        <v>270</v>
      </c>
      <c r="C193" s="25" t="n">
        <v>95.48</v>
      </c>
    </row>
    <row r="194" customFormat="false" ht="15" hidden="false" customHeight="false" outlineLevel="0" collapsed="false">
      <c r="A194" s="18" t="n">
        <v>46304</v>
      </c>
      <c r="B194" s="13" t="s">
        <v>275</v>
      </c>
      <c r="C194" s="25" t="n">
        <v>97.03</v>
      </c>
    </row>
    <row r="195" customFormat="false" ht="15" hidden="false" customHeight="false" outlineLevel="0" collapsed="false">
      <c r="A195" s="18" t="n">
        <v>46304</v>
      </c>
      <c r="B195" s="13" t="s">
        <v>281</v>
      </c>
      <c r="C195" s="25" t="n">
        <v>0.408</v>
      </c>
    </row>
    <row r="196" customFormat="false" ht="15" hidden="false" customHeight="false" outlineLevel="0" collapsed="false">
      <c r="A196" s="18" t="n">
        <v>46304</v>
      </c>
      <c r="B196" s="13" t="s">
        <v>290</v>
      </c>
      <c r="C196" s="25" t="n">
        <v>1.077</v>
      </c>
    </row>
    <row r="197" customFormat="false" ht="15" hidden="false" customHeight="false" outlineLevel="0" collapsed="false">
      <c r="A197" s="18" t="n">
        <v>46304</v>
      </c>
      <c r="B197" s="13" t="s">
        <v>299</v>
      </c>
      <c r="C197" s="25" t="n">
        <v>99.68</v>
      </c>
    </row>
    <row r="198" customFormat="false" ht="15" hidden="false" customHeight="false" outlineLevel="0" collapsed="false">
      <c r="A198" s="18" t="n">
        <v>46304</v>
      </c>
      <c r="B198" s="13" t="s">
        <v>304</v>
      </c>
      <c r="C198" s="25" t="n">
        <v>22.356</v>
      </c>
    </row>
    <row r="199" customFormat="false" ht="15" hidden="false" customHeight="false" outlineLevel="0" collapsed="false">
      <c r="A199" s="18" t="n">
        <v>46304</v>
      </c>
      <c r="B199" s="13" t="s">
        <v>310</v>
      </c>
      <c r="C199" s="25" t="n">
        <v>513.21</v>
      </c>
    </row>
    <row r="200" customFormat="false" ht="15" hidden="false" customHeight="false" outlineLevel="0" collapsed="false">
      <c r="A200" s="18" t="n">
        <v>46304</v>
      </c>
      <c r="B200" s="13" t="s">
        <v>327</v>
      </c>
      <c r="C200" s="25" t="n">
        <v>0.107</v>
      </c>
    </row>
    <row r="201" customFormat="false" ht="15" hidden="false" customHeight="false" outlineLevel="0" collapsed="false">
      <c r="A201" s="18" t="n">
        <v>46304</v>
      </c>
      <c r="B201" s="13" t="s">
        <v>336</v>
      </c>
      <c r="C201" s="25" t="n">
        <v>3.23</v>
      </c>
    </row>
    <row r="202" customFormat="false" ht="15" hidden="false" customHeight="false" outlineLevel="0" collapsed="false">
      <c r="A202" s="18" t="n">
        <v>46304</v>
      </c>
      <c r="B202" s="13" t="s">
        <v>342</v>
      </c>
      <c r="C202" s="25" t="n">
        <v>98.14</v>
      </c>
    </row>
    <row r="203" customFormat="false" ht="15" hidden="false" customHeight="false" outlineLevel="0" collapsed="false">
      <c r="A203" s="18" t="n">
        <v>46304</v>
      </c>
      <c r="B203" s="13" t="s">
        <v>347</v>
      </c>
      <c r="C203" s="25" t="n">
        <v>90.16</v>
      </c>
    </row>
    <row r="204" customFormat="false" ht="15" hidden="false" customHeight="false" outlineLevel="0" collapsed="false">
      <c r="A204" s="18" t="n">
        <v>46304</v>
      </c>
      <c r="B204" s="13" t="s">
        <v>364</v>
      </c>
      <c r="C204" s="25" t="n">
        <v>0.165</v>
      </c>
    </row>
    <row r="205" customFormat="false" ht="15" hidden="false" customHeight="false" outlineLevel="0" collapsed="false">
      <c r="A205" s="18" t="n">
        <v>46307</v>
      </c>
      <c r="B205" s="13" t="s">
        <v>70</v>
      </c>
      <c r="C205" s="25" t="n">
        <v>26.87</v>
      </c>
    </row>
    <row r="206" customFormat="false" ht="15" hidden="false" customHeight="false" outlineLevel="0" collapsed="false">
      <c r="A206" s="18" t="n">
        <v>46307</v>
      </c>
      <c r="B206" s="13" t="s">
        <v>82</v>
      </c>
      <c r="C206" s="25" t="n">
        <v>4.778</v>
      </c>
    </row>
    <row r="207" customFormat="false" ht="15" hidden="false" customHeight="false" outlineLevel="0" collapsed="false">
      <c r="A207" s="18" t="n">
        <v>46307</v>
      </c>
      <c r="B207" s="13" t="s">
        <v>98</v>
      </c>
      <c r="C207" s="25" t="n">
        <v>4.458</v>
      </c>
    </row>
    <row r="208" customFormat="false" ht="15" hidden="false" customHeight="false" outlineLevel="0" collapsed="false">
      <c r="A208" s="18" t="n">
        <v>46307</v>
      </c>
      <c r="B208" s="13" t="s">
        <v>123</v>
      </c>
      <c r="C208" s="25" t="n">
        <v>1.199</v>
      </c>
    </row>
    <row r="209" customFormat="false" ht="15" hidden="false" customHeight="false" outlineLevel="0" collapsed="false">
      <c r="A209" s="18" t="n">
        <v>46307</v>
      </c>
      <c r="B209" s="13" t="s">
        <v>133</v>
      </c>
      <c r="C209" s="25" t="n">
        <v>1.14</v>
      </c>
    </row>
    <row r="210" customFormat="false" ht="15" hidden="false" customHeight="false" outlineLevel="0" collapsed="false">
      <c r="A210" s="18" t="n">
        <v>46307</v>
      </c>
      <c r="B210" s="13" t="s">
        <v>139</v>
      </c>
      <c r="C210" s="25" t="n">
        <v>197.8</v>
      </c>
    </row>
    <row r="211" customFormat="false" ht="15" hidden="false" customHeight="false" outlineLevel="0" collapsed="false">
      <c r="A211" s="18" t="n">
        <v>46307</v>
      </c>
      <c r="B211" s="13" t="s">
        <v>146</v>
      </c>
      <c r="C211" s="25" t="n">
        <v>30.47</v>
      </c>
    </row>
    <row r="212" customFormat="false" ht="15" hidden="false" customHeight="false" outlineLevel="0" collapsed="false">
      <c r="A212" s="18" t="n">
        <v>46307</v>
      </c>
      <c r="B212" s="13" t="s">
        <v>153</v>
      </c>
      <c r="C212" s="25" t="n">
        <v>7.19</v>
      </c>
    </row>
    <row r="213" customFormat="false" ht="15" hidden="false" customHeight="false" outlineLevel="0" collapsed="false">
      <c r="A213" s="18" t="n">
        <v>46307</v>
      </c>
      <c r="B213" s="13" t="s">
        <v>159</v>
      </c>
      <c r="C213" s="25" t="n">
        <v>33.78</v>
      </c>
    </row>
    <row r="214" customFormat="false" ht="15" hidden="false" customHeight="false" outlineLevel="0" collapsed="false">
      <c r="A214" s="18" t="n">
        <v>46307</v>
      </c>
      <c r="B214" s="13" t="s">
        <v>167</v>
      </c>
      <c r="C214" s="25" t="n">
        <v>46.22</v>
      </c>
    </row>
    <row r="215" customFormat="false" ht="15" hidden="false" customHeight="false" outlineLevel="0" collapsed="false">
      <c r="A215" s="18" t="n">
        <v>46307</v>
      </c>
      <c r="B215" s="13" t="s">
        <v>203</v>
      </c>
      <c r="C215" s="25" t="n">
        <v>18736</v>
      </c>
    </row>
    <row r="216" customFormat="false" ht="15" hidden="false" customHeight="false" outlineLevel="0" collapsed="false">
      <c r="A216" s="18" t="n">
        <v>46307</v>
      </c>
      <c r="B216" s="13" t="s">
        <v>229</v>
      </c>
      <c r="C216" s="25" t="n">
        <v>527</v>
      </c>
    </row>
    <row r="217" customFormat="false" ht="15" hidden="false" customHeight="false" outlineLevel="0" collapsed="false">
      <c r="A217" s="18" t="n">
        <v>46307</v>
      </c>
      <c r="B217" s="13" t="s">
        <v>236</v>
      </c>
      <c r="C217" s="25" t="n">
        <v>17</v>
      </c>
    </row>
    <row r="218" customFormat="false" ht="15" hidden="false" customHeight="false" outlineLevel="0" collapsed="false">
      <c r="A218" s="18" t="n">
        <v>46307</v>
      </c>
      <c r="B218" s="13" t="s">
        <v>241</v>
      </c>
      <c r="C218" s="25" t="n">
        <v>85.42</v>
      </c>
    </row>
    <row r="219" customFormat="false" ht="15" hidden="false" customHeight="false" outlineLevel="0" collapsed="false">
      <c r="A219" s="18" t="n">
        <v>46307</v>
      </c>
      <c r="B219" s="13" t="s">
        <v>247</v>
      </c>
      <c r="C219" s="25" t="n">
        <v>3769</v>
      </c>
    </row>
    <row r="220" customFormat="false" ht="15" hidden="false" customHeight="false" outlineLevel="0" collapsed="false">
      <c r="A220" s="18" t="n">
        <v>46307</v>
      </c>
      <c r="B220" s="13" t="s">
        <v>260</v>
      </c>
      <c r="C220" s="25" t="n">
        <v>13.49</v>
      </c>
    </row>
    <row r="221" customFormat="false" ht="15" hidden="false" customHeight="false" outlineLevel="0" collapsed="false">
      <c r="A221" s="18" t="n">
        <v>46307</v>
      </c>
      <c r="B221" s="13" t="s">
        <v>265</v>
      </c>
      <c r="C221" s="25" t="n">
        <v>80.43</v>
      </c>
    </row>
    <row r="222" customFormat="false" ht="15" hidden="false" customHeight="false" outlineLevel="0" collapsed="false">
      <c r="A222" s="18" t="n">
        <v>46307</v>
      </c>
      <c r="B222" s="13" t="s">
        <v>270</v>
      </c>
      <c r="C222" s="25" t="n">
        <v>95.99</v>
      </c>
    </row>
    <row r="223" customFormat="false" ht="15" hidden="false" customHeight="false" outlineLevel="0" collapsed="false">
      <c r="A223" s="18" t="n">
        <v>46307</v>
      </c>
      <c r="B223" s="13" t="s">
        <v>275</v>
      </c>
      <c r="C223" s="25" t="n">
        <v>96.94</v>
      </c>
    </row>
    <row r="224" customFormat="false" ht="15" hidden="false" customHeight="false" outlineLevel="0" collapsed="false">
      <c r="A224" s="18" t="n">
        <v>46307</v>
      </c>
      <c r="B224" s="13" t="s">
        <v>281</v>
      </c>
      <c r="C224" s="25" t="n">
        <v>0.406</v>
      </c>
    </row>
    <row r="225" customFormat="false" ht="15" hidden="false" customHeight="false" outlineLevel="0" collapsed="false">
      <c r="A225" s="18" t="n">
        <v>46307</v>
      </c>
      <c r="B225" s="13" t="s">
        <v>290</v>
      </c>
      <c r="C225" s="25" t="n">
        <v>1.062</v>
      </c>
    </row>
    <row r="226" customFormat="false" ht="15" hidden="false" customHeight="false" outlineLevel="0" collapsed="false">
      <c r="A226" s="18" t="n">
        <v>46307</v>
      </c>
      <c r="B226" s="13" t="s">
        <v>299</v>
      </c>
      <c r="C226" s="25" t="n">
        <v>99.23</v>
      </c>
    </row>
    <row r="227" customFormat="false" ht="15" hidden="false" customHeight="false" outlineLevel="0" collapsed="false">
      <c r="A227" s="18" t="n">
        <v>46307</v>
      </c>
      <c r="B227" s="13" t="s">
        <v>304</v>
      </c>
      <c r="C227" s="25" t="n">
        <v>24.535</v>
      </c>
    </row>
    <row r="228" customFormat="false" ht="15" hidden="false" customHeight="false" outlineLevel="0" collapsed="false">
      <c r="A228" s="18" t="n">
        <v>46307</v>
      </c>
      <c r="B228" s="13" t="s">
        <v>310</v>
      </c>
      <c r="C228" s="25" t="n">
        <v>509.04</v>
      </c>
    </row>
    <row r="229" customFormat="false" ht="15" hidden="false" customHeight="false" outlineLevel="0" collapsed="false">
      <c r="A229" s="18" t="n">
        <v>46307</v>
      </c>
      <c r="B229" s="13" t="s">
        <v>327</v>
      </c>
      <c r="C229" s="25" t="n">
        <v>0.084</v>
      </c>
    </row>
    <row r="230" customFormat="false" ht="15" hidden="false" customHeight="false" outlineLevel="0" collapsed="false">
      <c r="A230" s="18" t="n">
        <v>46307</v>
      </c>
      <c r="B230" s="13" t="s">
        <v>336</v>
      </c>
      <c r="C230" s="25" t="n">
        <v>3.45</v>
      </c>
    </row>
    <row r="231" customFormat="false" ht="15" hidden="false" customHeight="false" outlineLevel="0" collapsed="false">
      <c r="A231" s="18" t="n">
        <v>46307</v>
      </c>
      <c r="B231" s="13" t="s">
        <v>342</v>
      </c>
      <c r="C231" s="25" t="n">
        <v>98.15</v>
      </c>
    </row>
    <row r="232" customFormat="false" ht="15" hidden="false" customHeight="false" outlineLevel="0" collapsed="false">
      <c r="A232" s="18" t="n">
        <v>46307</v>
      </c>
      <c r="B232" s="13" t="s">
        <v>347</v>
      </c>
      <c r="C232" s="25" t="n">
        <v>89.17</v>
      </c>
    </row>
    <row r="233" customFormat="false" ht="15" hidden="false" customHeight="false" outlineLevel="0" collapsed="false">
      <c r="A233" s="18" t="n">
        <v>46307</v>
      </c>
      <c r="B233" s="13" t="s">
        <v>364</v>
      </c>
      <c r="C233" s="25" t="n">
        <v>0.206</v>
      </c>
    </row>
    <row r="234" customFormat="false" ht="15" hidden="false" customHeight="false" outlineLevel="0" collapsed="false">
      <c r="A234" s="18" t="n">
        <v>46308</v>
      </c>
      <c r="B234" s="13" t="s">
        <v>70</v>
      </c>
      <c r="C234" s="25" t="n">
        <v>32.436</v>
      </c>
    </row>
    <row r="235" customFormat="false" ht="15" hidden="false" customHeight="false" outlineLevel="0" collapsed="false">
      <c r="A235" s="18" t="n">
        <v>46308</v>
      </c>
      <c r="B235" s="13" t="s">
        <v>82</v>
      </c>
      <c r="C235" s="25" t="n">
        <v>5.942</v>
      </c>
    </row>
    <row r="236" customFormat="false" ht="15" hidden="false" customHeight="false" outlineLevel="0" collapsed="false">
      <c r="A236" s="18" t="n">
        <v>46308</v>
      </c>
      <c r="B236" s="13" t="s">
        <v>98</v>
      </c>
      <c r="C236" s="25" t="n">
        <v>4.268</v>
      </c>
    </row>
    <row r="237" customFormat="false" ht="15" hidden="false" customHeight="false" outlineLevel="0" collapsed="false">
      <c r="A237" s="18" t="n">
        <v>46308</v>
      </c>
      <c r="B237" s="13" t="s">
        <v>123</v>
      </c>
      <c r="C237" s="25" t="n">
        <v>1.13</v>
      </c>
    </row>
    <row r="238" customFormat="false" ht="15" hidden="false" customHeight="false" outlineLevel="0" collapsed="false">
      <c r="A238" s="18" t="n">
        <v>46308</v>
      </c>
      <c r="B238" s="13" t="s">
        <v>133</v>
      </c>
      <c r="C238" s="25" t="n">
        <v>0.98</v>
      </c>
    </row>
    <row r="239" customFormat="false" ht="15" hidden="false" customHeight="false" outlineLevel="0" collapsed="false">
      <c r="A239" s="18" t="n">
        <v>46308</v>
      </c>
      <c r="B239" s="13" t="s">
        <v>139</v>
      </c>
      <c r="C239" s="25" t="n">
        <v>191.26</v>
      </c>
    </row>
    <row r="240" customFormat="false" ht="15" hidden="false" customHeight="false" outlineLevel="0" collapsed="false">
      <c r="A240" s="18" t="n">
        <v>46308</v>
      </c>
      <c r="B240" s="13" t="s">
        <v>146</v>
      </c>
      <c r="C240" s="25" t="n">
        <v>30.75</v>
      </c>
    </row>
    <row r="241" customFormat="false" ht="15" hidden="false" customHeight="false" outlineLevel="0" collapsed="false">
      <c r="A241" s="18" t="n">
        <v>46308</v>
      </c>
      <c r="B241" s="13" t="s">
        <v>153</v>
      </c>
      <c r="C241" s="25" t="n">
        <v>7.24</v>
      </c>
    </row>
    <row r="242" customFormat="false" ht="15" hidden="false" customHeight="false" outlineLevel="0" collapsed="false">
      <c r="A242" s="18" t="n">
        <v>46308</v>
      </c>
      <c r="B242" s="13" t="s">
        <v>159</v>
      </c>
      <c r="C242" s="25" t="n">
        <v>34.24</v>
      </c>
    </row>
    <row r="243" customFormat="false" ht="15" hidden="false" customHeight="false" outlineLevel="0" collapsed="false">
      <c r="A243" s="18" t="n">
        <v>46308</v>
      </c>
      <c r="B243" s="13" t="s">
        <v>167</v>
      </c>
      <c r="C243" s="25" t="n">
        <v>45.96</v>
      </c>
    </row>
    <row r="244" customFormat="false" ht="15" hidden="false" customHeight="false" outlineLevel="0" collapsed="false">
      <c r="A244" s="18" t="n">
        <v>46308</v>
      </c>
      <c r="B244" s="13" t="s">
        <v>203</v>
      </c>
      <c r="C244" s="25" t="n">
        <v>18650</v>
      </c>
    </row>
    <row r="245" customFormat="false" ht="15" hidden="false" customHeight="false" outlineLevel="0" collapsed="false">
      <c r="A245" s="18" t="n">
        <v>46308</v>
      </c>
      <c r="B245" s="13" t="s">
        <v>229</v>
      </c>
      <c r="C245" s="25" t="n">
        <v>438</v>
      </c>
    </row>
    <row r="246" customFormat="false" ht="15" hidden="false" customHeight="false" outlineLevel="0" collapsed="false">
      <c r="A246" s="18" t="n">
        <v>46308</v>
      </c>
      <c r="B246" s="13" t="s">
        <v>236</v>
      </c>
      <c r="C246" s="25" t="n">
        <v>16</v>
      </c>
    </row>
    <row r="247" customFormat="false" ht="15" hidden="false" customHeight="false" outlineLevel="0" collapsed="false">
      <c r="A247" s="18" t="n">
        <v>46308</v>
      </c>
      <c r="B247" s="13" t="s">
        <v>241</v>
      </c>
      <c r="C247" s="25" t="n">
        <v>85.88</v>
      </c>
    </row>
    <row r="248" customFormat="false" ht="15" hidden="false" customHeight="false" outlineLevel="0" collapsed="false">
      <c r="A248" s="18" t="n">
        <v>46308</v>
      </c>
      <c r="B248" s="13" t="s">
        <v>247</v>
      </c>
      <c r="C248" s="25" t="n">
        <v>3006</v>
      </c>
    </row>
    <row r="249" customFormat="false" ht="15" hidden="false" customHeight="false" outlineLevel="0" collapsed="false">
      <c r="A249" s="18" t="n">
        <v>46308</v>
      </c>
      <c r="B249" s="13" t="s">
        <v>260</v>
      </c>
      <c r="C249" s="25" t="n">
        <v>13.5</v>
      </c>
    </row>
    <row r="250" customFormat="false" ht="15" hidden="false" customHeight="false" outlineLevel="0" collapsed="false">
      <c r="A250" s="18" t="n">
        <v>46308</v>
      </c>
      <c r="B250" s="13" t="s">
        <v>265</v>
      </c>
      <c r="C250" s="25" t="n">
        <v>79.66</v>
      </c>
    </row>
    <row r="251" customFormat="false" ht="15" hidden="false" customHeight="false" outlineLevel="0" collapsed="false">
      <c r="A251" s="18" t="n">
        <v>46308</v>
      </c>
      <c r="B251" s="13" t="s">
        <v>270</v>
      </c>
      <c r="C251" s="25" t="n">
        <v>95.99</v>
      </c>
    </row>
    <row r="252" customFormat="false" ht="15" hidden="false" customHeight="false" outlineLevel="0" collapsed="false">
      <c r="A252" s="18" t="n">
        <v>46308</v>
      </c>
      <c r="B252" s="13" t="s">
        <v>275</v>
      </c>
      <c r="C252" s="25" t="n">
        <v>97.59</v>
      </c>
    </row>
    <row r="253" customFormat="false" ht="15" hidden="false" customHeight="false" outlineLevel="0" collapsed="false">
      <c r="A253" s="18" t="n">
        <v>46308</v>
      </c>
      <c r="B253" s="13" t="s">
        <v>281</v>
      </c>
      <c r="C253" s="25" t="n">
        <v>0.335</v>
      </c>
    </row>
    <row r="254" customFormat="false" ht="15" hidden="false" customHeight="false" outlineLevel="0" collapsed="false">
      <c r="A254" s="18" t="n">
        <v>46308</v>
      </c>
      <c r="B254" s="13" t="s">
        <v>290</v>
      </c>
      <c r="C254" s="25" t="n">
        <v>1.086</v>
      </c>
    </row>
    <row r="255" customFormat="false" ht="15" hidden="false" customHeight="false" outlineLevel="0" collapsed="false">
      <c r="A255" s="18" t="n">
        <v>46308</v>
      </c>
      <c r="B255" s="13" t="s">
        <v>299</v>
      </c>
      <c r="C255" s="25" t="n">
        <v>99.14</v>
      </c>
    </row>
    <row r="256" customFormat="false" ht="15" hidden="false" customHeight="false" outlineLevel="0" collapsed="false">
      <c r="A256" s="18" t="n">
        <v>46308</v>
      </c>
      <c r="B256" s="13" t="s">
        <v>304</v>
      </c>
      <c r="C256" s="25" t="n">
        <v>21.818</v>
      </c>
    </row>
    <row r="257" customFormat="false" ht="15" hidden="false" customHeight="false" outlineLevel="0" collapsed="false">
      <c r="A257" s="18" t="n">
        <v>46308</v>
      </c>
      <c r="B257" s="13" t="s">
        <v>310</v>
      </c>
      <c r="C257" s="25" t="n">
        <v>508.33</v>
      </c>
    </row>
    <row r="258" customFormat="false" ht="15" hidden="false" customHeight="false" outlineLevel="0" collapsed="false">
      <c r="A258" s="18" t="n">
        <v>46308</v>
      </c>
      <c r="B258" s="13" t="s">
        <v>327</v>
      </c>
      <c r="C258" s="25" t="n">
        <v>0.104</v>
      </c>
    </row>
    <row r="259" customFormat="false" ht="15" hidden="false" customHeight="false" outlineLevel="0" collapsed="false">
      <c r="A259" s="18" t="n">
        <v>46308</v>
      </c>
      <c r="B259" s="13" t="s">
        <v>336</v>
      </c>
      <c r="C259" s="25" t="n">
        <v>3.34</v>
      </c>
    </row>
    <row r="260" customFormat="false" ht="15" hidden="false" customHeight="false" outlineLevel="0" collapsed="false">
      <c r="A260" s="18" t="n">
        <v>46308</v>
      </c>
      <c r="B260" s="13" t="s">
        <v>342</v>
      </c>
      <c r="C260" s="25" t="n">
        <v>98.3</v>
      </c>
    </row>
    <row r="261" customFormat="false" ht="15" hidden="false" customHeight="false" outlineLevel="0" collapsed="false">
      <c r="A261" s="18" t="n">
        <v>46308</v>
      </c>
      <c r="B261" s="13" t="s">
        <v>347</v>
      </c>
      <c r="C261" s="25" t="n">
        <v>89.69</v>
      </c>
    </row>
    <row r="262" customFormat="false" ht="15" hidden="false" customHeight="false" outlineLevel="0" collapsed="false">
      <c r="A262" s="18" t="n">
        <v>46308</v>
      </c>
      <c r="B262" s="13" t="s">
        <v>364</v>
      </c>
      <c r="C262" s="25" t="n">
        <v>0.171</v>
      </c>
    </row>
    <row r="263" customFormat="false" ht="15" hidden="false" customHeight="false" outlineLevel="0" collapsed="false">
      <c r="A263" s="18" t="n">
        <v>46309</v>
      </c>
      <c r="B263" s="13" t="s">
        <v>70</v>
      </c>
      <c r="C263" s="25" t="n">
        <v>31.613</v>
      </c>
    </row>
    <row r="264" customFormat="false" ht="15" hidden="false" customHeight="false" outlineLevel="0" collapsed="false">
      <c r="A264" s="18" t="n">
        <v>46309</v>
      </c>
      <c r="B264" s="13" t="s">
        <v>82</v>
      </c>
      <c r="C264" s="25" t="n">
        <v>5.057</v>
      </c>
    </row>
    <row r="265" customFormat="false" ht="15" hidden="false" customHeight="false" outlineLevel="0" collapsed="false">
      <c r="A265" s="18" t="n">
        <v>46309</v>
      </c>
      <c r="B265" s="13" t="s">
        <v>98</v>
      </c>
      <c r="C265" s="25" t="n">
        <v>4.682</v>
      </c>
    </row>
    <row r="266" customFormat="false" ht="15" hidden="false" customHeight="false" outlineLevel="0" collapsed="false">
      <c r="A266" s="18" t="n">
        <v>46309</v>
      </c>
      <c r="B266" s="13" t="s">
        <v>123</v>
      </c>
      <c r="C266" s="25" t="n">
        <v>1.319</v>
      </c>
    </row>
    <row r="267" customFormat="false" ht="15" hidden="false" customHeight="false" outlineLevel="0" collapsed="false">
      <c r="A267" s="18" t="n">
        <v>46309</v>
      </c>
      <c r="B267" s="13" t="s">
        <v>133</v>
      </c>
      <c r="C267" s="25" t="n">
        <v>1.021</v>
      </c>
    </row>
    <row r="268" customFormat="false" ht="15" hidden="false" customHeight="false" outlineLevel="0" collapsed="false">
      <c r="A268" s="18" t="n">
        <v>46309</v>
      </c>
      <c r="B268" s="13" t="s">
        <v>139</v>
      </c>
      <c r="C268" s="25" t="n">
        <v>195.13</v>
      </c>
    </row>
    <row r="269" customFormat="false" ht="15" hidden="false" customHeight="false" outlineLevel="0" collapsed="false">
      <c r="A269" s="18" t="n">
        <v>46309</v>
      </c>
      <c r="B269" s="13" t="s">
        <v>146</v>
      </c>
      <c r="C269" s="25" t="n">
        <v>30.49</v>
      </c>
    </row>
    <row r="270" customFormat="false" ht="15" hidden="false" customHeight="false" outlineLevel="0" collapsed="false">
      <c r="A270" s="18" t="n">
        <v>46309</v>
      </c>
      <c r="B270" s="13" t="s">
        <v>153</v>
      </c>
      <c r="C270" s="25" t="n">
        <v>7.4</v>
      </c>
    </row>
    <row r="271" customFormat="false" ht="15" hidden="false" customHeight="false" outlineLevel="0" collapsed="false">
      <c r="A271" s="18" t="n">
        <v>46309</v>
      </c>
      <c r="B271" s="13" t="s">
        <v>159</v>
      </c>
      <c r="C271" s="25" t="n">
        <v>33.8</v>
      </c>
    </row>
    <row r="272" customFormat="false" ht="15" hidden="false" customHeight="false" outlineLevel="0" collapsed="false">
      <c r="A272" s="18" t="n">
        <v>46309</v>
      </c>
      <c r="B272" s="13" t="s">
        <v>167</v>
      </c>
      <c r="C272" s="25" t="n">
        <v>46.37</v>
      </c>
    </row>
    <row r="273" customFormat="false" ht="15" hidden="false" customHeight="false" outlineLevel="0" collapsed="false">
      <c r="A273" s="18" t="n">
        <v>46309</v>
      </c>
      <c r="B273" s="13" t="s">
        <v>203</v>
      </c>
      <c r="C273" s="25" t="n">
        <v>18676</v>
      </c>
    </row>
    <row r="274" customFormat="false" ht="15" hidden="false" customHeight="false" outlineLevel="0" collapsed="false">
      <c r="A274" s="18" t="n">
        <v>46309</v>
      </c>
      <c r="B274" s="13" t="s">
        <v>229</v>
      </c>
      <c r="C274" s="25" t="n">
        <v>473</v>
      </c>
    </row>
    <row r="275" customFormat="false" ht="15" hidden="false" customHeight="false" outlineLevel="0" collapsed="false">
      <c r="A275" s="18" t="n">
        <v>46309</v>
      </c>
      <c r="B275" s="13" t="s">
        <v>236</v>
      </c>
      <c r="C275" s="25" t="n">
        <v>15</v>
      </c>
    </row>
    <row r="276" customFormat="false" ht="15" hidden="false" customHeight="false" outlineLevel="0" collapsed="false">
      <c r="A276" s="18" t="n">
        <v>46309</v>
      </c>
      <c r="B276" s="13" t="s">
        <v>241</v>
      </c>
      <c r="C276" s="25" t="n">
        <v>86.51</v>
      </c>
    </row>
    <row r="277" customFormat="false" ht="15" hidden="false" customHeight="false" outlineLevel="0" collapsed="false">
      <c r="A277" s="18" t="n">
        <v>46309</v>
      </c>
      <c r="B277" s="13" t="s">
        <v>247</v>
      </c>
      <c r="C277" s="25" t="n">
        <v>2936</v>
      </c>
    </row>
    <row r="278" customFormat="false" ht="15" hidden="false" customHeight="false" outlineLevel="0" collapsed="false">
      <c r="A278" s="18" t="n">
        <v>46309</v>
      </c>
      <c r="B278" s="13" t="s">
        <v>260</v>
      </c>
      <c r="C278" s="25" t="n">
        <v>13.84</v>
      </c>
    </row>
    <row r="279" customFormat="false" ht="15" hidden="false" customHeight="false" outlineLevel="0" collapsed="false">
      <c r="A279" s="18" t="n">
        <v>46309</v>
      </c>
      <c r="B279" s="13" t="s">
        <v>265</v>
      </c>
      <c r="C279" s="25" t="n">
        <v>80.15</v>
      </c>
    </row>
    <row r="280" customFormat="false" ht="15" hidden="false" customHeight="false" outlineLevel="0" collapsed="false">
      <c r="A280" s="18" t="n">
        <v>46309</v>
      </c>
      <c r="B280" s="13" t="s">
        <v>270</v>
      </c>
      <c r="C280" s="25" t="n">
        <v>96.07</v>
      </c>
    </row>
    <row r="281" customFormat="false" ht="15" hidden="false" customHeight="false" outlineLevel="0" collapsed="false">
      <c r="A281" s="18" t="n">
        <v>46309</v>
      </c>
      <c r="B281" s="13" t="s">
        <v>275</v>
      </c>
      <c r="C281" s="25" t="n">
        <v>97.54</v>
      </c>
    </row>
    <row r="282" customFormat="false" ht="15" hidden="false" customHeight="false" outlineLevel="0" collapsed="false">
      <c r="A282" s="18" t="n">
        <v>46309</v>
      </c>
      <c r="B282" s="13" t="s">
        <v>281</v>
      </c>
      <c r="C282" s="25" t="n">
        <v>0.339</v>
      </c>
    </row>
    <row r="283" customFormat="false" ht="15" hidden="false" customHeight="false" outlineLevel="0" collapsed="false">
      <c r="A283" s="18" t="n">
        <v>46309</v>
      </c>
      <c r="B283" s="13" t="s">
        <v>290</v>
      </c>
      <c r="C283" s="25" t="n">
        <v>0.985</v>
      </c>
    </row>
    <row r="284" customFormat="false" ht="15" hidden="false" customHeight="false" outlineLevel="0" collapsed="false">
      <c r="A284" s="18" t="n">
        <v>46309</v>
      </c>
      <c r="B284" s="13" t="s">
        <v>299</v>
      </c>
      <c r="C284" s="25" t="n">
        <v>99.88</v>
      </c>
    </row>
    <row r="285" customFormat="false" ht="15" hidden="false" customHeight="false" outlineLevel="0" collapsed="false">
      <c r="A285" s="18" t="n">
        <v>46309</v>
      </c>
      <c r="B285" s="13" t="s">
        <v>304</v>
      </c>
      <c r="C285" s="25" t="n">
        <v>21.977</v>
      </c>
    </row>
    <row r="286" customFormat="false" ht="15" hidden="false" customHeight="false" outlineLevel="0" collapsed="false">
      <c r="A286" s="18" t="n">
        <v>46309</v>
      </c>
      <c r="B286" s="13" t="s">
        <v>310</v>
      </c>
      <c r="C286" s="25" t="n">
        <v>510.29</v>
      </c>
    </row>
    <row r="287" customFormat="false" ht="15" hidden="false" customHeight="false" outlineLevel="0" collapsed="false">
      <c r="A287" s="18" t="n">
        <v>46309</v>
      </c>
      <c r="B287" s="13" t="s">
        <v>327</v>
      </c>
      <c r="C287" s="25" t="n">
        <v>0.108</v>
      </c>
    </row>
    <row r="288" customFormat="false" ht="15" hidden="false" customHeight="false" outlineLevel="0" collapsed="false">
      <c r="A288" s="18" t="n">
        <v>46309</v>
      </c>
      <c r="B288" s="13" t="s">
        <v>336</v>
      </c>
      <c r="C288" s="25" t="n">
        <v>3.13</v>
      </c>
    </row>
    <row r="289" customFormat="false" ht="15" hidden="false" customHeight="false" outlineLevel="0" collapsed="false">
      <c r="A289" s="18" t="n">
        <v>46309</v>
      </c>
      <c r="B289" s="13" t="s">
        <v>342</v>
      </c>
      <c r="C289" s="25" t="n">
        <v>98.2</v>
      </c>
    </row>
    <row r="290" customFormat="false" ht="15" hidden="false" customHeight="false" outlineLevel="0" collapsed="false">
      <c r="A290" s="18" t="n">
        <v>46309</v>
      </c>
      <c r="B290" s="13" t="s">
        <v>347</v>
      </c>
      <c r="C290" s="25" t="n">
        <v>90.33</v>
      </c>
    </row>
    <row r="291" customFormat="false" ht="15" hidden="false" customHeight="false" outlineLevel="0" collapsed="false">
      <c r="A291" s="18" t="n">
        <v>46309</v>
      </c>
      <c r="B291" s="13" t="s">
        <v>364</v>
      </c>
      <c r="C291" s="25" t="n">
        <v>0.201</v>
      </c>
    </row>
    <row r="292" customFormat="false" ht="15" hidden="false" customHeight="false" outlineLevel="0" collapsed="false">
      <c r="A292" s="18" t="n">
        <v>46310</v>
      </c>
      <c r="B292" s="13" t="s">
        <v>70</v>
      </c>
      <c r="C292" s="25" t="n">
        <v>32.501</v>
      </c>
    </row>
    <row r="293" customFormat="false" ht="15" hidden="false" customHeight="false" outlineLevel="0" collapsed="false">
      <c r="A293" s="18" t="n">
        <v>46310</v>
      </c>
      <c r="B293" s="13" t="s">
        <v>82</v>
      </c>
      <c r="C293" s="25" t="n">
        <v>5.499</v>
      </c>
    </row>
    <row r="294" customFormat="false" ht="15" hidden="false" customHeight="false" outlineLevel="0" collapsed="false">
      <c r="A294" s="18" t="n">
        <v>46310</v>
      </c>
      <c r="B294" s="13" t="s">
        <v>98</v>
      </c>
      <c r="C294" s="25" t="n">
        <v>3.594</v>
      </c>
    </row>
    <row r="295" customFormat="false" ht="15" hidden="false" customHeight="false" outlineLevel="0" collapsed="false">
      <c r="A295" s="18" t="n">
        <v>46310</v>
      </c>
      <c r="B295" s="13" t="s">
        <v>123</v>
      </c>
      <c r="C295" s="25" t="n">
        <v>1.38</v>
      </c>
    </row>
    <row r="296" customFormat="false" ht="15" hidden="false" customHeight="false" outlineLevel="0" collapsed="false">
      <c r="A296" s="18" t="n">
        <v>46310</v>
      </c>
      <c r="B296" s="13" t="s">
        <v>133</v>
      </c>
      <c r="C296" s="25" t="n">
        <v>0.986</v>
      </c>
    </row>
    <row r="297" customFormat="false" ht="15" hidden="false" customHeight="false" outlineLevel="0" collapsed="false">
      <c r="A297" s="18" t="n">
        <v>46310</v>
      </c>
      <c r="B297" s="13" t="s">
        <v>139</v>
      </c>
      <c r="C297" s="25" t="n">
        <v>196.02</v>
      </c>
    </row>
    <row r="298" customFormat="false" ht="15" hidden="false" customHeight="false" outlineLevel="0" collapsed="false">
      <c r="A298" s="18" t="n">
        <v>46310</v>
      </c>
      <c r="B298" s="13" t="s">
        <v>146</v>
      </c>
      <c r="C298" s="25" t="n">
        <v>30.28</v>
      </c>
    </row>
    <row r="299" customFormat="false" ht="15" hidden="false" customHeight="false" outlineLevel="0" collapsed="false">
      <c r="A299" s="18" t="n">
        <v>46310</v>
      </c>
      <c r="B299" s="13" t="s">
        <v>153</v>
      </c>
      <c r="C299" s="25" t="n">
        <v>7.14</v>
      </c>
    </row>
    <row r="300" customFormat="false" ht="15" hidden="false" customHeight="false" outlineLevel="0" collapsed="false">
      <c r="A300" s="18" t="n">
        <v>46310</v>
      </c>
      <c r="B300" s="13" t="s">
        <v>159</v>
      </c>
      <c r="C300" s="25" t="n">
        <v>33.72</v>
      </c>
    </row>
    <row r="301" customFormat="false" ht="15" hidden="false" customHeight="false" outlineLevel="0" collapsed="false">
      <c r="A301" s="18" t="n">
        <v>46310</v>
      </c>
      <c r="B301" s="13" t="s">
        <v>167</v>
      </c>
      <c r="C301" s="25" t="n">
        <v>45.88</v>
      </c>
    </row>
    <row r="302" customFormat="false" ht="15" hidden="false" customHeight="false" outlineLevel="0" collapsed="false">
      <c r="A302" s="18" t="n">
        <v>46310</v>
      </c>
      <c r="B302" s="13" t="s">
        <v>203</v>
      </c>
      <c r="C302" s="25" t="n">
        <v>18682</v>
      </c>
    </row>
    <row r="303" customFormat="false" ht="15" hidden="false" customHeight="false" outlineLevel="0" collapsed="false">
      <c r="A303" s="18" t="n">
        <v>46310</v>
      </c>
      <c r="B303" s="13" t="s">
        <v>229</v>
      </c>
      <c r="C303" s="25" t="n">
        <v>444</v>
      </c>
    </row>
    <row r="304" customFormat="false" ht="15" hidden="false" customHeight="false" outlineLevel="0" collapsed="false">
      <c r="A304" s="18" t="n">
        <v>46310</v>
      </c>
      <c r="B304" s="13" t="s">
        <v>236</v>
      </c>
      <c r="C304" s="25" t="n">
        <v>18</v>
      </c>
    </row>
    <row r="305" customFormat="false" ht="15" hidden="false" customHeight="false" outlineLevel="0" collapsed="false">
      <c r="A305" s="18" t="n">
        <v>46310</v>
      </c>
      <c r="B305" s="13" t="s">
        <v>241</v>
      </c>
      <c r="C305" s="25" t="n">
        <v>86.47</v>
      </c>
    </row>
    <row r="306" customFormat="false" ht="15" hidden="false" customHeight="false" outlineLevel="0" collapsed="false">
      <c r="A306" s="18" t="n">
        <v>46310</v>
      </c>
      <c r="B306" s="13" t="s">
        <v>247</v>
      </c>
      <c r="C306" s="25" t="n">
        <v>3746</v>
      </c>
    </row>
    <row r="307" customFormat="false" ht="15" hidden="false" customHeight="false" outlineLevel="0" collapsed="false">
      <c r="A307" s="18" t="n">
        <v>46310</v>
      </c>
      <c r="B307" s="13" t="s">
        <v>260</v>
      </c>
      <c r="C307" s="25" t="n">
        <v>13.99</v>
      </c>
    </row>
    <row r="308" customFormat="false" ht="15" hidden="false" customHeight="false" outlineLevel="0" collapsed="false">
      <c r="A308" s="18" t="n">
        <v>46310</v>
      </c>
      <c r="B308" s="13" t="s">
        <v>265</v>
      </c>
      <c r="C308" s="25" t="n">
        <v>79.85</v>
      </c>
    </row>
    <row r="309" customFormat="false" ht="15" hidden="false" customHeight="false" outlineLevel="0" collapsed="false">
      <c r="A309" s="18" t="n">
        <v>46310</v>
      </c>
      <c r="B309" s="13" t="s">
        <v>270</v>
      </c>
      <c r="C309" s="25" t="n">
        <v>96.14</v>
      </c>
    </row>
    <row r="310" customFormat="false" ht="15" hidden="false" customHeight="false" outlineLevel="0" collapsed="false">
      <c r="A310" s="18" t="n">
        <v>46310</v>
      </c>
      <c r="B310" s="13" t="s">
        <v>275</v>
      </c>
      <c r="C310" s="25" t="n">
        <v>97.36</v>
      </c>
    </row>
    <row r="311" customFormat="false" ht="15" hidden="false" customHeight="false" outlineLevel="0" collapsed="false">
      <c r="A311" s="18" t="n">
        <v>46310</v>
      </c>
      <c r="B311" s="13" t="s">
        <v>281</v>
      </c>
      <c r="C311" s="25" t="n">
        <v>0.359</v>
      </c>
    </row>
    <row r="312" customFormat="false" ht="15" hidden="false" customHeight="false" outlineLevel="0" collapsed="false">
      <c r="A312" s="18" t="n">
        <v>46310</v>
      </c>
      <c r="B312" s="13" t="s">
        <v>290</v>
      </c>
      <c r="C312" s="25" t="n">
        <v>1.021</v>
      </c>
    </row>
    <row r="313" customFormat="false" ht="15" hidden="false" customHeight="false" outlineLevel="0" collapsed="false">
      <c r="A313" s="18" t="n">
        <v>46310</v>
      </c>
      <c r="B313" s="13" t="s">
        <v>299</v>
      </c>
      <c r="C313" s="25" t="n">
        <v>99.3</v>
      </c>
    </row>
    <row r="314" customFormat="false" ht="15" hidden="false" customHeight="false" outlineLevel="0" collapsed="false">
      <c r="A314" s="18" t="n">
        <v>46310</v>
      </c>
      <c r="B314" s="13" t="s">
        <v>304</v>
      </c>
      <c r="C314" s="25" t="n">
        <v>24.219</v>
      </c>
    </row>
    <row r="315" customFormat="false" ht="15" hidden="false" customHeight="false" outlineLevel="0" collapsed="false">
      <c r="A315" s="18" t="n">
        <v>46310</v>
      </c>
      <c r="B315" s="13" t="s">
        <v>310</v>
      </c>
      <c r="C315" s="25" t="n">
        <v>514.83</v>
      </c>
    </row>
    <row r="316" customFormat="false" ht="15" hidden="false" customHeight="false" outlineLevel="0" collapsed="false">
      <c r="A316" s="18" t="n">
        <v>46310</v>
      </c>
      <c r="B316" s="13" t="s">
        <v>327</v>
      </c>
      <c r="C316" s="25" t="n">
        <v>0.101</v>
      </c>
    </row>
    <row r="317" customFormat="false" ht="15" hidden="false" customHeight="false" outlineLevel="0" collapsed="false">
      <c r="A317" s="18" t="n">
        <v>46310</v>
      </c>
      <c r="B317" s="13" t="s">
        <v>336</v>
      </c>
      <c r="C317" s="25" t="n">
        <v>3.37</v>
      </c>
    </row>
    <row r="318" customFormat="false" ht="15" hidden="false" customHeight="false" outlineLevel="0" collapsed="false">
      <c r="A318" s="18" t="n">
        <v>46310</v>
      </c>
      <c r="B318" s="13" t="s">
        <v>342</v>
      </c>
      <c r="C318" s="25" t="n">
        <v>98.17</v>
      </c>
    </row>
    <row r="319" customFormat="false" ht="15" hidden="false" customHeight="false" outlineLevel="0" collapsed="false">
      <c r="A319" s="18" t="n">
        <v>46310</v>
      </c>
      <c r="B319" s="13" t="s">
        <v>347</v>
      </c>
      <c r="C319" s="25" t="n">
        <v>90.02</v>
      </c>
    </row>
    <row r="320" customFormat="false" ht="15" hidden="false" customHeight="false" outlineLevel="0" collapsed="false">
      <c r="A320" s="18" t="n">
        <v>46310</v>
      </c>
      <c r="B320" s="13" t="s">
        <v>364</v>
      </c>
      <c r="C320" s="25" t="n">
        <v>0.164</v>
      </c>
    </row>
    <row r="321" customFormat="false" ht="15" hidden="false" customHeight="false" outlineLevel="0" collapsed="false">
      <c r="A321" s="18" t="n">
        <v>46311</v>
      </c>
      <c r="B321" s="13" t="s">
        <v>70</v>
      </c>
      <c r="C321" s="25" t="n">
        <v>26.352</v>
      </c>
    </row>
    <row r="322" customFormat="false" ht="15" hidden="false" customHeight="false" outlineLevel="0" collapsed="false">
      <c r="A322" s="18" t="n">
        <v>46311</v>
      </c>
      <c r="B322" s="13" t="s">
        <v>82</v>
      </c>
      <c r="C322" s="25" t="n">
        <v>5.185</v>
      </c>
    </row>
    <row r="323" customFormat="false" ht="15" hidden="false" customHeight="false" outlineLevel="0" collapsed="false">
      <c r="A323" s="18" t="n">
        <v>46311</v>
      </c>
      <c r="B323" s="13" t="s">
        <v>98</v>
      </c>
      <c r="C323" s="25" t="n">
        <v>4.05</v>
      </c>
    </row>
    <row r="324" customFormat="false" ht="15" hidden="false" customHeight="false" outlineLevel="0" collapsed="false">
      <c r="A324" s="18" t="n">
        <v>46311</v>
      </c>
      <c r="B324" s="13" t="s">
        <v>123</v>
      </c>
      <c r="C324" s="25" t="n">
        <v>1.074</v>
      </c>
    </row>
    <row r="325" customFormat="false" ht="15" hidden="false" customHeight="false" outlineLevel="0" collapsed="false">
      <c r="A325" s="18" t="n">
        <v>46311</v>
      </c>
      <c r="B325" s="13" t="s">
        <v>133</v>
      </c>
      <c r="C325" s="25" t="n">
        <v>1.178</v>
      </c>
    </row>
    <row r="326" customFormat="false" ht="15" hidden="false" customHeight="false" outlineLevel="0" collapsed="false">
      <c r="A326" s="18" t="n">
        <v>46311</v>
      </c>
      <c r="B326" s="13" t="s">
        <v>139</v>
      </c>
      <c r="C326" s="25" t="n">
        <v>193.25</v>
      </c>
    </row>
    <row r="327" customFormat="false" ht="15" hidden="false" customHeight="false" outlineLevel="0" collapsed="false">
      <c r="A327" s="18" t="n">
        <v>46311</v>
      </c>
      <c r="B327" s="13" t="s">
        <v>146</v>
      </c>
      <c r="C327" s="25" t="n">
        <v>30.67</v>
      </c>
    </row>
    <row r="328" customFormat="false" ht="15" hidden="false" customHeight="false" outlineLevel="0" collapsed="false">
      <c r="A328" s="18" t="n">
        <v>46311</v>
      </c>
      <c r="B328" s="13" t="s">
        <v>153</v>
      </c>
      <c r="C328" s="25" t="n">
        <v>7.2</v>
      </c>
    </row>
    <row r="329" customFormat="false" ht="15" hidden="false" customHeight="false" outlineLevel="0" collapsed="false">
      <c r="A329" s="18" t="n">
        <v>46311</v>
      </c>
      <c r="B329" s="13" t="s">
        <v>159</v>
      </c>
      <c r="C329" s="25" t="n">
        <v>33.67</v>
      </c>
    </row>
    <row r="330" customFormat="false" ht="15" hidden="false" customHeight="false" outlineLevel="0" collapsed="false">
      <c r="A330" s="18" t="n">
        <v>46311</v>
      </c>
      <c r="B330" s="13" t="s">
        <v>167</v>
      </c>
      <c r="C330" s="25" t="n">
        <v>46.2</v>
      </c>
    </row>
    <row r="331" customFormat="false" ht="15" hidden="false" customHeight="false" outlineLevel="0" collapsed="false">
      <c r="A331" s="18" t="n">
        <v>46311</v>
      </c>
      <c r="B331" s="13" t="s">
        <v>203</v>
      </c>
      <c r="C331" s="25" t="n">
        <v>18652</v>
      </c>
    </row>
    <row r="332" customFormat="false" ht="15" hidden="false" customHeight="false" outlineLevel="0" collapsed="false">
      <c r="A332" s="18" t="n">
        <v>46311</v>
      </c>
      <c r="B332" s="13" t="s">
        <v>229</v>
      </c>
      <c r="C332" s="25" t="n">
        <v>452</v>
      </c>
    </row>
    <row r="333" customFormat="false" ht="15" hidden="false" customHeight="false" outlineLevel="0" collapsed="false">
      <c r="A333" s="18" t="n">
        <v>46311</v>
      </c>
      <c r="B333" s="13" t="s">
        <v>236</v>
      </c>
      <c r="C333" s="25" t="n">
        <v>18</v>
      </c>
    </row>
    <row r="334" customFormat="false" ht="15" hidden="false" customHeight="false" outlineLevel="0" collapsed="false">
      <c r="A334" s="18" t="n">
        <v>46311</v>
      </c>
      <c r="B334" s="13" t="s">
        <v>241</v>
      </c>
      <c r="C334" s="25" t="n">
        <v>86.72</v>
      </c>
    </row>
    <row r="335" customFormat="false" ht="15" hidden="false" customHeight="false" outlineLevel="0" collapsed="false">
      <c r="A335" s="18" t="n">
        <v>46311</v>
      </c>
      <c r="B335" s="13" t="s">
        <v>247</v>
      </c>
      <c r="C335" s="25" t="n">
        <v>3778</v>
      </c>
    </row>
    <row r="336" customFormat="false" ht="15" hidden="false" customHeight="false" outlineLevel="0" collapsed="false">
      <c r="A336" s="18" t="n">
        <v>46311</v>
      </c>
      <c r="B336" s="13" t="s">
        <v>260</v>
      </c>
      <c r="C336" s="25" t="n">
        <v>13.9</v>
      </c>
    </row>
    <row r="337" customFormat="false" ht="15" hidden="false" customHeight="false" outlineLevel="0" collapsed="false">
      <c r="A337" s="18" t="n">
        <v>46311</v>
      </c>
      <c r="B337" s="13" t="s">
        <v>265</v>
      </c>
      <c r="C337" s="25" t="n">
        <v>79.36</v>
      </c>
    </row>
    <row r="338" customFormat="false" ht="15" hidden="false" customHeight="false" outlineLevel="0" collapsed="false">
      <c r="A338" s="18" t="n">
        <v>46311</v>
      </c>
      <c r="B338" s="13" t="s">
        <v>270</v>
      </c>
      <c r="C338" s="25" t="n">
        <v>95.69</v>
      </c>
    </row>
    <row r="339" customFormat="false" ht="15" hidden="false" customHeight="false" outlineLevel="0" collapsed="false">
      <c r="A339" s="18" t="n">
        <v>46311</v>
      </c>
      <c r="B339" s="13" t="s">
        <v>275</v>
      </c>
      <c r="C339" s="25" t="n">
        <v>97.5</v>
      </c>
    </row>
    <row r="340" customFormat="false" ht="15" hidden="false" customHeight="false" outlineLevel="0" collapsed="false">
      <c r="A340" s="18" t="n">
        <v>46311</v>
      </c>
      <c r="B340" s="13" t="s">
        <v>281</v>
      </c>
      <c r="C340" s="25" t="n">
        <v>0.372</v>
      </c>
    </row>
    <row r="341" customFormat="false" ht="15" hidden="false" customHeight="false" outlineLevel="0" collapsed="false">
      <c r="A341" s="18" t="n">
        <v>46311</v>
      </c>
      <c r="B341" s="13" t="s">
        <v>290</v>
      </c>
      <c r="C341" s="25" t="n">
        <v>1.072</v>
      </c>
    </row>
    <row r="342" customFormat="false" ht="15" hidden="false" customHeight="false" outlineLevel="0" collapsed="false">
      <c r="A342" s="18" t="n">
        <v>46311</v>
      </c>
      <c r="B342" s="13" t="s">
        <v>299</v>
      </c>
      <c r="C342" s="25" t="n">
        <v>99.68</v>
      </c>
    </row>
    <row r="343" customFormat="false" ht="15" hidden="false" customHeight="false" outlineLevel="0" collapsed="false">
      <c r="A343" s="18" t="n">
        <v>46311</v>
      </c>
      <c r="B343" s="13" t="s">
        <v>304</v>
      </c>
      <c r="C343" s="25" t="n">
        <v>21.704</v>
      </c>
    </row>
    <row r="344" customFormat="false" ht="15" hidden="false" customHeight="false" outlineLevel="0" collapsed="false">
      <c r="A344" s="18" t="n">
        <v>46311</v>
      </c>
      <c r="B344" s="13" t="s">
        <v>310</v>
      </c>
      <c r="C344" s="25" t="n">
        <v>516.89</v>
      </c>
    </row>
    <row r="345" customFormat="false" ht="15" hidden="false" customHeight="false" outlineLevel="0" collapsed="false">
      <c r="A345" s="18" t="n">
        <v>46311</v>
      </c>
      <c r="B345" s="13" t="s">
        <v>327</v>
      </c>
      <c r="C345" s="25" t="n">
        <v>0.103</v>
      </c>
    </row>
    <row r="346" customFormat="false" ht="15" hidden="false" customHeight="false" outlineLevel="0" collapsed="false">
      <c r="A346" s="18" t="n">
        <v>46311</v>
      </c>
      <c r="B346" s="13" t="s">
        <v>336</v>
      </c>
      <c r="C346" s="25" t="n">
        <v>3.08</v>
      </c>
    </row>
    <row r="347" customFormat="false" ht="15" hidden="false" customHeight="false" outlineLevel="0" collapsed="false">
      <c r="A347" s="18" t="n">
        <v>46311</v>
      </c>
      <c r="B347" s="13" t="s">
        <v>342</v>
      </c>
      <c r="C347" s="25" t="n">
        <v>98.3</v>
      </c>
    </row>
    <row r="348" customFormat="false" ht="15" hidden="false" customHeight="false" outlineLevel="0" collapsed="false">
      <c r="A348" s="18" t="n">
        <v>46311</v>
      </c>
      <c r="B348" s="13" t="s">
        <v>347</v>
      </c>
      <c r="C348" s="25" t="n">
        <v>89.24</v>
      </c>
    </row>
    <row r="349" customFormat="false" ht="15" hidden="false" customHeight="false" outlineLevel="0" collapsed="false">
      <c r="A349" s="18" t="n">
        <v>46311</v>
      </c>
      <c r="B349" s="13" t="s">
        <v>364</v>
      </c>
      <c r="C349" s="25" t="n">
        <v>0.184</v>
      </c>
    </row>
    <row r="350" customFormat="false" ht="15" hidden="false" customHeight="false" outlineLevel="0" collapsed="false">
      <c r="A350" s="18" t="n">
        <v>46314</v>
      </c>
      <c r="B350" s="13" t="s">
        <v>70</v>
      </c>
      <c r="C350" s="25" t="n">
        <v>24.814</v>
      </c>
    </row>
    <row r="351" customFormat="false" ht="15" hidden="false" customHeight="false" outlineLevel="0" collapsed="false">
      <c r="A351" s="18" t="n">
        <v>46314</v>
      </c>
      <c r="B351" s="13" t="s">
        <v>82</v>
      </c>
      <c r="C351" s="25" t="n">
        <v>5.775</v>
      </c>
    </row>
    <row r="352" customFormat="false" ht="15" hidden="false" customHeight="false" outlineLevel="0" collapsed="false">
      <c r="A352" s="18" t="n">
        <v>46314</v>
      </c>
      <c r="B352" s="13" t="s">
        <v>98</v>
      </c>
      <c r="C352" s="25" t="n">
        <v>4.471</v>
      </c>
    </row>
    <row r="353" customFormat="false" ht="15" hidden="false" customHeight="false" outlineLevel="0" collapsed="false">
      <c r="A353" s="18" t="n">
        <v>46314</v>
      </c>
      <c r="B353" s="13" t="s">
        <v>123</v>
      </c>
      <c r="C353" s="25" t="n">
        <v>1.253</v>
      </c>
    </row>
    <row r="354" customFormat="false" ht="15" hidden="false" customHeight="false" outlineLevel="0" collapsed="false">
      <c r="A354" s="18" t="n">
        <v>46314</v>
      </c>
      <c r="B354" s="13" t="s">
        <v>133</v>
      </c>
      <c r="C354" s="25" t="n">
        <v>1.098</v>
      </c>
    </row>
    <row r="355" customFormat="false" ht="15" hidden="false" customHeight="false" outlineLevel="0" collapsed="false">
      <c r="A355" s="18" t="n">
        <v>46314</v>
      </c>
      <c r="B355" s="13" t="s">
        <v>139</v>
      </c>
      <c r="C355" s="25" t="n">
        <v>198.06</v>
      </c>
    </row>
    <row r="356" customFormat="false" ht="15" hidden="false" customHeight="false" outlineLevel="0" collapsed="false">
      <c r="A356" s="18" t="n">
        <v>46314</v>
      </c>
      <c r="B356" s="13" t="s">
        <v>146</v>
      </c>
      <c r="C356" s="25" t="n">
        <v>30.15</v>
      </c>
    </row>
    <row r="357" customFormat="false" ht="15" hidden="false" customHeight="false" outlineLevel="0" collapsed="false">
      <c r="A357" s="18" t="n">
        <v>46314</v>
      </c>
      <c r="B357" s="13" t="s">
        <v>153</v>
      </c>
      <c r="C357" s="25" t="n">
        <v>7.37</v>
      </c>
    </row>
    <row r="358" customFormat="false" ht="15" hidden="false" customHeight="false" outlineLevel="0" collapsed="false">
      <c r="A358" s="18" t="n">
        <v>46314</v>
      </c>
      <c r="B358" s="13" t="s">
        <v>159</v>
      </c>
      <c r="C358" s="25" t="n">
        <v>33.97</v>
      </c>
    </row>
    <row r="359" customFormat="false" ht="15" hidden="false" customHeight="false" outlineLevel="0" collapsed="false">
      <c r="A359" s="18" t="n">
        <v>46314</v>
      </c>
      <c r="B359" s="13" t="s">
        <v>167</v>
      </c>
      <c r="C359" s="25" t="n">
        <v>46.15</v>
      </c>
    </row>
    <row r="360" customFormat="false" ht="15" hidden="false" customHeight="false" outlineLevel="0" collapsed="false">
      <c r="A360" s="18" t="n">
        <v>46314</v>
      </c>
      <c r="B360" s="13" t="s">
        <v>203</v>
      </c>
      <c r="C360" s="25" t="n">
        <v>18780</v>
      </c>
    </row>
    <row r="361" customFormat="false" ht="15" hidden="false" customHeight="false" outlineLevel="0" collapsed="false">
      <c r="A361" s="18" t="n">
        <v>46314</v>
      </c>
      <c r="B361" s="13" t="s">
        <v>229</v>
      </c>
      <c r="C361" s="25" t="n">
        <v>514</v>
      </c>
    </row>
    <row r="362" customFormat="false" ht="15" hidden="false" customHeight="false" outlineLevel="0" collapsed="false">
      <c r="A362" s="18" t="n">
        <v>46314</v>
      </c>
      <c r="B362" s="13" t="s">
        <v>236</v>
      </c>
      <c r="C362" s="25" t="n">
        <v>20</v>
      </c>
    </row>
    <row r="363" customFormat="false" ht="15" hidden="false" customHeight="false" outlineLevel="0" collapsed="false">
      <c r="A363" s="18" t="n">
        <v>46314</v>
      </c>
      <c r="B363" s="13" t="s">
        <v>241</v>
      </c>
      <c r="C363" s="25" t="n">
        <v>86.56</v>
      </c>
    </row>
    <row r="364" customFormat="false" ht="15" hidden="false" customHeight="false" outlineLevel="0" collapsed="false">
      <c r="A364" s="18" t="n">
        <v>46314</v>
      </c>
      <c r="B364" s="13" t="s">
        <v>247</v>
      </c>
      <c r="C364" s="25" t="n">
        <v>3289</v>
      </c>
    </row>
    <row r="365" customFormat="false" ht="15" hidden="false" customHeight="false" outlineLevel="0" collapsed="false">
      <c r="A365" s="18" t="n">
        <v>46314</v>
      </c>
      <c r="B365" s="13" t="s">
        <v>260</v>
      </c>
      <c r="C365" s="25" t="n">
        <v>13.68</v>
      </c>
    </row>
    <row r="366" customFormat="false" ht="15" hidden="false" customHeight="false" outlineLevel="0" collapsed="false">
      <c r="A366" s="18" t="n">
        <v>46314</v>
      </c>
      <c r="B366" s="13" t="s">
        <v>265</v>
      </c>
      <c r="C366" s="25" t="n">
        <v>79.17</v>
      </c>
    </row>
    <row r="367" customFormat="false" ht="15" hidden="false" customHeight="false" outlineLevel="0" collapsed="false">
      <c r="A367" s="18" t="n">
        <v>46314</v>
      </c>
      <c r="B367" s="13" t="s">
        <v>270</v>
      </c>
      <c r="C367" s="25" t="n">
        <v>96.11</v>
      </c>
    </row>
    <row r="368" customFormat="false" ht="15" hidden="false" customHeight="false" outlineLevel="0" collapsed="false">
      <c r="A368" s="18" t="n">
        <v>46314</v>
      </c>
      <c r="B368" s="13" t="s">
        <v>275</v>
      </c>
      <c r="C368" s="25" t="n">
        <v>97.31</v>
      </c>
    </row>
    <row r="369" customFormat="false" ht="15" hidden="false" customHeight="false" outlineLevel="0" collapsed="false">
      <c r="A369" s="18" t="n">
        <v>46314</v>
      </c>
      <c r="B369" s="13" t="s">
        <v>281</v>
      </c>
      <c r="C369" s="25" t="n">
        <v>0.357</v>
      </c>
    </row>
    <row r="370" customFormat="false" ht="15" hidden="false" customHeight="false" outlineLevel="0" collapsed="false">
      <c r="A370" s="18" t="n">
        <v>46314</v>
      </c>
      <c r="B370" s="13" t="s">
        <v>290</v>
      </c>
      <c r="C370" s="25" t="n">
        <v>1.023</v>
      </c>
    </row>
    <row r="371" customFormat="false" ht="15" hidden="false" customHeight="false" outlineLevel="0" collapsed="false">
      <c r="A371" s="18" t="n">
        <v>46314</v>
      </c>
      <c r="B371" s="13" t="s">
        <v>299</v>
      </c>
      <c r="C371" s="25" t="n">
        <v>99.37</v>
      </c>
    </row>
    <row r="372" customFormat="false" ht="15" hidden="false" customHeight="false" outlineLevel="0" collapsed="false">
      <c r="A372" s="18" t="n">
        <v>46314</v>
      </c>
      <c r="B372" s="13" t="s">
        <v>304</v>
      </c>
      <c r="C372" s="25" t="n">
        <v>24.303</v>
      </c>
    </row>
    <row r="373" customFormat="false" ht="15" hidden="false" customHeight="false" outlineLevel="0" collapsed="false">
      <c r="A373" s="18" t="n">
        <v>46314</v>
      </c>
      <c r="B373" s="13" t="s">
        <v>310</v>
      </c>
      <c r="C373" s="25" t="n">
        <v>510.39</v>
      </c>
    </row>
    <row r="374" customFormat="false" ht="15" hidden="false" customHeight="false" outlineLevel="0" collapsed="false">
      <c r="A374" s="18" t="n">
        <v>46314</v>
      </c>
      <c r="B374" s="13" t="s">
        <v>327</v>
      </c>
      <c r="C374" s="25" t="n">
        <v>0.085</v>
      </c>
    </row>
    <row r="375" customFormat="false" ht="15" hidden="false" customHeight="false" outlineLevel="0" collapsed="false">
      <c r="A375" s="18" t="n">
        <v>46314</v>
      </c>
      <c r="B375" s="13" t="s">
        <v>336</v>
      </c>
      <c r="C375" s="25" t="n">
        <v>3.41</v>
      </c>
    </row>
    <row r="376" customFormat="false" ht="15" hidden="false" customHeight="false" outlineLevel="0" collapsed="false">
      <c r="A376" s="18" t="n">
        <v>46314</v>
      </c>
      <c r="B376" s="13" t="s">
        <v>342</v>
      </c>
      <c r="C376" s="25" t="n">
        <v>98.14</v>
      </c>
    </row>
    <row r="377" customFormat="false" ht="15" hidden="false" customHeight="false" outlineLevel="0" collapsed="false">
      <c r="A377" s="18" t="n">
        <v>46314</v>
      </c>
      <c r="B377" s="13" t="s">
        <v>347</v>
      </c>
      <c r="C377" s="25" t="n">
        <v>89.88</v>
      </c>
    </row>
    <row r="378" customFormat="false" ht="15" hidden="false" customHeight="false" outlineLevel="0" collapsed="false">
      <c r="A378" s="18" t="n">
        <v>46314</v>
      </c>
      <c r="B378" s="13" t="s">
        <v>364</v>
      </c>
      <c r="C378" s="25" t="n">
        <v>0.207</v>
      </c>
    </row>
    <row r="379" customFormat="false" ht="15" hidden="false" customHeight="false" outlineLevel="0" collapsed="false">
      <c r="A379" s="18" t="n">
        <v>46315</v>
      </c>
      <c r="B379" s="13" t="s">
        <v>70</v>
      </c>
      <c r="C379" s="25" t="n">
        <v>24.919</v>
      </c>
    </row>
    <row r="380" customFormat="false" ht="15" hidden="false" customHeight="false" outlineLevel="0" collapsed="false">
      <c r="A380" s="18" t="n">
        <v>46315</v>
      </c>
      <c r="B380" s="13" t="s">
        <v>82</v>
      </c>
      <c r="C380" s="25" t="n">
        <v>4.904</v>
      </c>
    </row>
    <row r="381" customFormat="false" ht="15" hidden="false" customHeight="false" outlineLevel="0" collapsed="false">
      <c r="A381" s="18" t="n">
        <v>46315</v>
      </c>
      <c r="B381" s="13" t="s">
        <v>98</v>
      </c>
      <c r="C381" s="25" t="n">
        <v>4.498</v>
      </c>
    </row>
    <row r="382" customFormat="false" ht="15" hidden="false" customHeight="false" outlineLevel="0" collapsed="false">
      <c r="A382" s="18" t="n">
        <v>46315</v>
      </c>
      <c r="B382" s="13" t="s">
        <v>123</v>
      </c>
      <c r="C382" s="25" t="n">
        <v>1.261</v>
      </c>
    </row>
    <row r="383" customFormat="false" ht="15" hidden="false" customHeight="false" outlineLevel="0" collapsed="false">
      <c r="A383" s="18" t="n">
        <v>46315</v>
      </c>
      <c r="B383" s="13" t="s">
        <v>133</v>
      </c>
      <c r="C383" s="25" t="n">
        <v>0.941</v>
      </c>
    </row>
    <row r="384" customFormat="false" ht="15" hidden="false" customHeight="false" outlineLevel="0" collapsed="false">
      <c r="A384" s="18" t="n">
        <v>46315</v>
      </c>
      <c r="B384" s="13" t="s">
        <v>139</v>
      </c>
      <c r="C384" s="25" t="n">
        <v>194.89</v>
      </c>
    </row>
    <row r="385" customFormat="false" ht="15" hidden="false" customHeight="false" outlineLevel="0" collapsed="false">
      <c r="A385" s="18" t="n">
        <v>46315</v>
      </c>
      <c r="B385" s="13" t="s">
        <v>146</v>
      </c>
      <c r="C385" s="25" t="n">
        <v>30.69</v>
      </c>
    </row>
    <row r="386" customFormat="false" ht="15" hidden="false" customHeight="false" outlineLevel="0" collapsed="false">
      <c r="A386" s="18" t="n">
        <v>46315</v>
      </c>
      <c r="B386" s="13" t="s">
        <v>153</v>
      </c>
      <c r="C386" s="25" t="n">
        <v>7.17</v>
      </c>
    </row>
    <row r="387" customFormat="false" ht="15" hidden="false" customHeight="false" outlineLevel="0" collapsed="false">
      <c r="A387" s="18" t="n">
        <v>46315</v>
      </c>
      <c r="B387" s="13" t="s">
        <v>159</v>
      </c>
      <c r="C387" s="25" t="n">
        <v>34.09</v>
      </c>
    </row>
    <row r="388" customFormat="false" ht="15" hidden="false" customHeight="false" outlineLevel="0" collapsed="false">
      <c r="A388" s="18" t="n">
        <v>46315</v>
      </c>
      <c r="B388" s="13" t="s">
        <v>167</v>
      </c>
      <c r="C388" s="25" t="n">
        <v>46.07</v>
      </c>
    </row>
    <row r="389" customFormat="false" ht="15" hidden="false" customHeight="false" outlineLevel="0" collapsed="false">
      <c r="A389" s="18" t="n">
        <v>46315</v>
      </c>
      <c r="B389" s="13" t="s">
        <v>203</v>
      </c>
      <c r="C389" s="25" t="n">
        <v>18771</v>
      </c>
    </row>
    <row r="390" customFormat="false" ht="15" hidden="false" customHeight="false" outlineLevel="0" collapsed="false">
      <c r="A390" s="18" t="n">
        <v>46315</v>
      </c>
      <c r="B390" s="13" t="s">
        <v>229</v>
      </c>
      <c r="C390" s="25" t="n">
        <v>533</v>
      </c>
    </row>
    <row r="391" customFormat="false" ht="15" hidden="false" customHeight="false" outlineLevel="0" collapsed="false">
      <c r="A391" s="18" t="n">
        <v>46315</v>
      </c>
      <c r="B391" s="13" t="s">
        <v>236</v>
      </c>
      <c r="C391" s="25" t="n">
        <v>16</v>
      </c>
    </row>
    <row r="392" customFormat="false" ht="15" hidden="false" customHeight="false" outlineLevel="0" collapsed="false">
      <c r="A392" s="18" t="n">
        <v>46315</v>
      </c>
      <c r="B392" s="13" t="s">
        <v>241</v>
      </c>
      <c r="C392" s="25" t="n">
        <v>85.96</v>
      </c>
    </row>
    <row r="393" customFormat="false" ht="15" hidden="false" customHeight="false" outlineLevel="0" collapsed="false">
      <c r="A393" s="18" t="n">
        <v>46315</v>
      </c>
      <c r="B393" s="13" t="s">
        <v>247</v>
      </c>
      <c r="C393" s="25" t="n">
        <v>2863</v>
      </c>
    </row>
    <row r="394" customFormat="false" ht="15" hidden="false" customHeight="false" outlineLevel="0" collapsed="false">
      <c r="A394" s="18" t="n">
        <v>46315</v>
      </c>
      <c r="B394" s="13" t="s">
        <v>260</v>
      </c>
      <c r="C394" s="25" t="n">
        <v>14.04</v>
      </c>
    </row>
    <row r="395" customFormat="false" ht="15" hidden="false" customHeight="false" outlineLevel="0" collapsed="false">
      <c r="A395" s="18" t="n">
        <v>46315</v>
      </c>
      <c r="B395" s="13" t="s">
        <v>265</v>
      </c>
      <c r="C395" s="25" t="n">
        <v>79.88</v>
      </c>
    </row>
    <row r="396" customFormat="false" ht="15" hidden="false" customHeight="false" outlineLevel="0" collapsed="false">
      <c r="A396" s="18" t="n">
        <v>46315</v>
      </c>
      <c r="B396" s="13" t="s">
        <v>270</v>
      </c>
      <c r="C396" s="25" t="n">
        <v>95.99</v>
      </c>
    </row>
    <row r="397" customFormat="false" ht="15" hidden="false" customHeight="false" outlineLevel="0" collapsed="false">
      <c r="A397" s="18" t="n">
        <v>46315</v>
      </c>
      <c r="B397" s="13" t="s">
        <v>275</v>
      </c>
      <c r="C397" s="25" t="n">
        <v>97</v>
      </c>
    </row>
    <row r="398" customFormat="false" ht="15" hidden="false" customHeight="false" outlineLevel="0" collapsed="false">
      <c r="A398" s="18" t="n">
        <v>46315</v>
      </c>
      <c r="B398" s="13" t="s">
        <v>281</v>
      </c>
      <c r="C398" s="25" t="n">
        <v>0.328</v>
      </c>
    </row>
    <row r="399" customFormat="false" ht="15" hidden="false" customHeight="false" outlineLevel="0" collapsed="false">
      <c r="A399" s="18" t="n">
        <v>46315</v>
      </c>
      <c r="B399" s="13" t="s">
        <v>290</v>
      </c>
      <c r="C399" s="25" t="n">
        <v>1.096</v>
      </c>
    </row>
    <row r="400" customFormat="false" ht="15" hidden="false" customHeight="false" outlineLevel="0" collapsed="false">
      <c r="A400" s="18" t="n">
        <v>46315</v>
      </c>
      <c r="B400" s="13" t="s">
        <v>299</v>
      </c>
      <c r="C400" s="25" t="n">
        <v>98.63</v>
      </c>
    </row>
    <row r="401" customFormat="false" ht="15" hidden="false" customHeight="false" outlineLevel="0" collapsed="false">
      <c r="A401" s="18" t="n">
        <v>46315</v>
      </c>
      <c r="B401" s="13" t="s">
        <v>304</v>
      </c>
      <c r="C401" s="25" t="n">
        <v>24.809</v>
      </c>
    </row>
    <row r="402" customFormat="false" ht="15" hidden="false" customHeight="false" outlineLevel="0" collapsed="false">
      <c r="A402" s="18" t="n">
        <v>46315</v>
      </c>
      <c r="B402" s="13" t="s">
        <v>310</v>
      </c>
      <c r="C402" s="25" t="n">
        <v>514.41</v>
      </c>
    </row>
    <row r="403" customFormat="false" ht="15" hidden="false" customHeight="false" outlineLevel="0" collapsed="false">
      <c r="A403" s="18" t="n">
        <v>46315</v>
      </c>
      <c r="B403" s="13" t="s">
        <v>327</v>
      </c>
      <c r="C403" s="25" t="n">
        <v>0.108</v>
      </c>
    </row>
    <row r="404" customFormat="false" ht="15" hidden="false" customHeight="false" outlineLevel="0" collapsed="false">
      <c r="A404" s="18" t="n">
        <v>46315</v>
      </c>
      <c r="B404" s="13" t="s">
        <v>336</v>
      </c>
      <c r="C404" s="25" t="n">
        <v>3.35</v>
      </c>
    </row>
    <row r="405" customFormat="false" ht="15" hidden="false" customHeight="false" outlineLevel="0" collapsed="false">
      <c r="A405" s="18" t="n">
        <v>46315</v>
      </c>
      <c r="B405" s="13" t="s">
        <v>342</v>
      </c>
      <c r="C405" s="25" t="n">
        <v>98.19</v>
      </c>
    </row>
    <row r="406" customFormat="false" ht="15" hidden="false" customHeight="false" outlineLevel="0" collapsed="false">
      <c r="A406" s="18" t="n">
        <v>46315</v>
      </c>
      <c r="B406" s="13" t="s">
        <v>347</v>
      </c>
      <c r="C406" s="25" t="n">
        <v>90.68</v>
      </c>
    </row>
    <row r="407" customFormat="false" ht="15" hidden="false" customHeight="false" outlineLevel="0" collapsed="false">
      <c r="A407" s="18" t="n">
        <v>46315</v>
      </c>
      <c r="B407" s="13" t="s">
        <v>364</v>
      </c>
      <c r="C407" s="25" t="n">
        <v>0.168</v>
      </c>
    </row>
    <row r="408" customFormat="false" ht="15" hidden="false" customHeight="false" outlineLevel="0" collapsed="false">
      <c r="A408" s="18" t="n">
        <v>46316</v>
      </c>
      <c r="B408" s="13" t="s">
        <v>70</v>
      </c>
      <c r="C408" s="25" t="n">
        <v>28.339</v>
      </c>
    </row>
    <row r="409" customFormat="false" ht="15" hidden="false" customHeight="false" outlineLevel="0" collapsed="false">
      <c r="A409" s="18" t="n">
        <v>46316</v>
      </c>
      <c r="B409" s="13" t="s">
        <v>82</v>
      </c>
      <c r="C409" s="25" t="n">
        <v>4.982</v>
      </c>
    </row>
    <row r="410" customFormat="false" ht="15" hidden="false" customHeight="false" outlineLevel="0" collapsed="false">
      <c r="A410" s="18" t="n">
        <v>46316</v>
      </c>
      <c r="B410" s="13" t="s">
        <v>98</v>
      </c>
      <c r="C410" s="25" t="n">
        <v>4.588</v>
      </c>
    </row>
    <row r="411" customFormat="false" ht="15" hidden="false" customHeight="false" outlineLevel="0" collapsed="false">
      <c r="A411" s="18" t="n">
        <v>46316</v>
      </c>
      <c r="B411" s="13" t="s">
        <v>123</v>
      </c>
      <c r="C411" s="25" t="n">
        <v>1.114</v>
      </c>
    </row>
    <row r="412" customFormat="false" ht="15" hidden="false" customHeight="false" outlineLevel="0" collapsed="false">
      <c r="A412" s="18" t="n">
        <v>46316</v>
      </c>
      <c r="B412" s="13" t="s">
        <v>133</v>
      </c>
      <c r="C412" s="25" t="n">
        <v>0.953</v>
      </c>
    </row>
    <row r="413" customFormat="false" ht="15" hidden="false" customHeight="false" outlineLevel="0" collapsed="false">
      <c r="A413" s="18" t="n">
        <v>46316</v>
      </c>
      <c r="B413" s="13" t="s">
        <v>139</v>
      </c>
      <c r="C413" s="25" t="n">
        <v>195.01</v>
      </c>
    </row>
    <row r="414" customFormat="false" ht="15" hidden="false" customHeight="false" outlineLevel="0" collapsed="false">
      <c r="A414" s="18" t="n">
        <v>46316</v>
      </c>
      <c r="B414" s="13" t="s">
        <v>146</v>
      </c>
      <c r="C414" s="25" t="n">
        <v>30.26</v>
      </c>
    </row>
    <row r="415" customFormat="false" ht="15" hidden="false" customHeight="false" outlineLevel="0" collapsed="false">
      <c r="A415" s="18" t="n">
        <v>46316</v>
      </c>
      <c r="B415" s="13" t="s">
        <v>153</v>
      </c>
      <c r="C415" s="25" t="n">
        <v>7.18</v>
      </c>
    </row>
    <row r="416" customFormat="false" ht="15" hidden="false" customHeight="false" outlineLevel="0" collapsed="false">
      <c r="A416" s="18" t="n">
        <v>46316</v>
      </c>
      <c r="B416" s="13" t="s">
        <v>159</v>
      </c>
      <c r="C416" s="25" t="n">
        <v>34.01</v>
      </c>
    </row>
    <row r="417" customFormat="false" ht="15" hidden="false" customHeight="false" outlineLevel="0" collapsed="false">
      <c r="A417" s="18" t="n">
        <v>46316</v>
      </c>
      <c r="B417" s="13" t="s">
        <v>167</v>
      </c>
      <c r="C417" s="25" t="n">
        <v>45.99</v>
      </c>
    </row>
    <row r="418" customFormat="false" ht="15" hidden="false" customHeight="false" outlineLevel="0" collapsed="false">
      <c r="A418" s="18" t="n">
        <v>46316</v>
      </c>
      <c r="B418" s="13" t="s">
        <v>203</v>
      </c>
      <c r="C418" s="25" t="n">
        <v>18768</v>
      </c>
    </row>
    <row r="419" customFormat="false" ht="15" hidden="false" customHeight="false" outlineLevel="0" collapsed="false">
      <c r="A419" s="18" t="n">
        <v>46316</v>
      </c>
      <c r="B419" s="13" t="s">
        <v>229</v>
      </c>
      <c r="C419" s="25" t="n">
        <v>445</v>
      </c>
    </row>
    <row r="420" customFormat="false" ht="15" hidden="false" customHeight="false" outlineLevel="0" collapsed="false">
      <c r="A420" s="18" t="n">
        <v>46316</v>
      </c>
      <c r="B420" s="13" t="s">
        <v>236</v>
      </c>
      <c r="C420" s="25" t="n">
        <v>18</v>
      </c>
    </row>
    <row r="421" customFormat="false" ht="15" hidden="false" customHeight="false" outlineLevel="0" collapsed="false">
      <c r="A421" s="18" t="n">
        <v>46316</v>
      </c>
      <c r="B421" s="13" t="s">
        <v>241</v>
      </c>
      <c r="C421" s="25" t="n">
        <v>86.41</v>
      </c>
    </row>
    <row r="422" customFormat="false" ht="15" hidden="false" customHeight="false" outlineLevel="0" collapsed="false">
      <c r="A422" s="18" t="n">
        <v>46316</v>
      </c>
      <c r="B422" s="13" t="s">
        <v>247</v>
      </c>
      <c r="C422" s="25" t="n">
        <v>3729</v>
      </c>
    </row>
    <row r="423" customFormat="false" ht="15" hidden="false" customHeight="false" outlineLevel="0" collapsed="false">
      <c r="A423" s="18" t="n">
        <v>46316</v>
      </c>
      <c r="B423" s="13" t="s">
        <v>260</v>
      </c>
      <c r="C423" s="25" t="n">
        <v>13.74</v>
      </c>
    </row>
    <row r="424" customFormat="false" ht="15" hidden="false" customHeight="false" outlineLevel="0" collapsed="false">
      <c r="A424" s="18" t="n">
        <v>46316</v>
      </c>
      <c r="B424" s="13" t="s">
        <v>265</v>
      </c>
      <c r="C424" s="25" t="n">
        <v>78.88</v>
      </c>
    </row>
    <row r="425" customFormat="false" ht="15" hidden="false" customHeight="false" outlineLevel="0" collapsed="false">
      <c r="A425" s="18" t="n">
        <v>46316</v>
      </c>
      <c r="B425" s="13" t="s">
        <v>270</v>
      </c>
      <c r="C425" s="25" t="n">
        <v>96.35</v>
      </c>
    </row>
    <row r="426" customFormat="false" ht="15" hidden="false" customHeight="false" outlineLevel="0" collapsed="false">
      <c r="A426" s="18" t="n">
        <v>46316</v>
      </c>
      <c r="B426" s="13" t="s">
        <v>275</v>
      </c>
      <c r="C426" s="25" t="n">
        <v>96.81</v>
      </c>
    </row>
    <row r="427" customFormat="false" ht="15" hidden="false" customHeight="false" outlineLevel="0" collapsed="false">
      <c r="A427" s="18" t="n">
        <v>46316</v>
      </c>
      <c r="B427" s="13" t="s">
        <v>281</v>
      </c>
      <c r="C427" s="25" t="n">
        <v>0.342</v>
      </c>
    </row>
    <row r="428" customFormat="false" ht="15" hidden="false" customHeight="false" outlineLevel="0" collapsed="false">
      <c r="A428" s="18" t="n">
        <v>46316</v>
      </c>
      <c r="B428" s="13" t="s">
        <v>290</v>
      </c>
      <c r="C428" s="25" t="n">
        <v>1.029</v>
      </c>
    </row>
    <row r="429" customFormat="false" ht="15" hidden="false" customHeight="false" outlineLevel="0" collapsed="false">
      <c r="A429" s="18" t="n">
        <v>46316</v>
      </c>
      <c r="B429" s="13" t="s">
        <v>299</v>
      </c>
      <c r="C429" s="25" t="n">
        <v>99.06</v>
      </c>
    </row>
    <row r="430" customFormat="false" ht="15" hidden="false" customHeight="false" outlineLevel="0" collapsed="false">
      <c r="A430" s="18" t="n">
        <v>46316</v>
      </c>
      <c r="B430" s="13" t="s">
        <v>304</v>
      </c>
      <c r="C430" s="25" t="n">
        <v>21.326</v>
      </c>
    </row>
    <row r="431" customFormat="false" ht="15" hidden="false" customHeight="false" outlineLevel="0" collapsed="false">
      <c r="A431" s="18" t="n">
        <v>46316</v>
      </c>
      <c r="B431" s="13" t="s">
        <v>310</v>
      </c>
      <c r="C431" s="25" t="n">
        <v>514.92</v>
      </c>
    </row>
    <row r="432" customFormat="false" ht="15" hidden="false" customHeight="false" outlineLevel="0" collapsed="false">
      <c r="A432" s="18" t="n">
        <v>46316</v>
      </c>
      <c r="B432" s="13" t="s">
        <v>327</v>
      </c>
      <c r="C432" s="25" t="n">
        <v>0.094</v>
      </c>
    </row>
    <row r="433" customFormat="false" ht="15" hidden="false" customHeight="false" outlineLevel="0" collapsed="false">
      <c r="A433" s="18" t="n">
        <v>46316</v>
      </c>
      <c r="B433" s="13" t="s">
        <v>336</v>
      </c>
      <c r="C433" s="25" t="n">
        <v>3.37</v>
      </c>
    </row>
    <row r="434" customFormat="false" ht="15" hidden="false" customHeight="false" outlineLevel="0" collapsed="false">
      <c r="A434" s="18" t="n">
        <v>46316</v>
      </c>
      <c r="B434" s="13" t="s">
        <v>342</v>
      </c>
      <c r="C434" s="25" t="n">
        <v>98.21</v>
      </c>
    </row>
    <row r="435" customFormat="false" ht="15" hidden="false" customHeight="false" outlineLevel="0" collapsed="false">
      <c r="A435" s="18" t="n">
        <v>46316</v>
      </c>
      <c r="B435" s="13" t="s">
        <v>347</v>
      </c>
      <c r="C435" s="25" t="n">
        <v>89.55</v>
      </c>
    </row>
    <row r="436" customFormat="false" ht="15" hidden="false" customHeight="false" outlineLevel="0" collapsed="false">
      <c r="A436" s="18" t="n">
        <v>46316</v>
      </c>
      <c r="B436" s="13" t="s">
        <v>364</v>
      </c>
      <c r="C436" s="25" t="n">
        <v>0.171</v>
      </c>
    </row>
    <row r="437" customFormat="false" ht="15" hidden="false" customHeight="false" outlineLevel="0" collapsed="false">
      <c r="A437" s="18" t="n">
        <v>46317</v>
      </c>
      <c r="B437" s="13" t="s">
        <v>70</v>
      </c>
      <c r="C437" s="25" t="n">
        <v>30.136</v>
      </c>
    </row>
    <row r="438" customFormat="false" ht="15" hidden="false" customHeight="false" outlineLevel="0" collapsed="false">
      <c r="A438" s="18" t="n">
        <v>46317</v>
      </c>
      <c r="B438" s="13" t="s">
        <v>82</v>
      </c>
      <c r="C438" s="25" t="n">
        <v>4.979</v>
      </c>
    </row>
    <row r="439" customFormat="false" ht="15" hidden="false" customHeight="false" outlineLevel="0" collapsed="false">
      <c r="A439" s="18" t="n">
        <v>46317</v>
      </c>
      <c r="B439" s="13" t="s">
        <v>98</v>
      </c>
      <c r="C439" s="25" t="n">
        <v>3.518</v>
      </c>
    </row>
    <row r="440" customFormat="false" ht="15" hidden="false" customHeight="false" outlineLevel="0" collapsed="false">
      <c r="A440" s="18" t="n">
        <v>46317</v>
      </c>
      <c r="B440" s="13" t="s">
        <v>123</v>
      </c>
      <c r="C440" s="25" t="n">
        <v>1.17</v>
      </c>
    </row>
    <row r="441" customFormat="false" ht="15" hidden="false" customHeight="false" outlineLevel="0" collapsed="false">
      <c r="A441" s="18" t="n">
        <v>46317</v>
      </c>
      <c r="B441" s="13" t="s">
        <v>133</v>
      </c>
      <c r="C441" s="25" t="n">
        <v>1.048</v>
      </c>
    </row>
    <row r="442" customFormat="false" ht="15" hidden="false" customHeight="false" outlineLevel="0" collapsed="false">
      <c r="A442" s="18" t="n">
        <v>46317</v>
      </c>
      <c r="B442" s="13" t="s">
        <v>139</v>
      </c>
      <c r="C442" s="25" t="n">
        <v>197.79</v>
      </c>
    </row>
    <row r="443" customFormat="false" ht="15" hidden="false" customHeight="false" outlineLevel="0" collapsed="false">
      <c r="A443" s="18" t="n">
        <v>46317</v>
      </c>
      <c r="B443" s="13" t="s">
        <v>146</v>
      </c>
      <c r="C443" s="25" t="n">
        <v>30.52</v>
      </c>
    </row>
    <row r="444" customFormat="false" ht="15" hidden="false" customHeight="false" outlineLevel="0" collapsed="false">
      <c r="A444" s="18" t="n">
        <v>46317</v>
      </c>
      <c r="B444" s="13" t="s">
        <v>153</v>
      </c>
      <c r="C444" s="25" t="n">
        <v>7.33</v>
      </c>
    </row>
    <row r="445" customFormat="false" ht="15" hidden="false" customHeight="false" outlineLevel="0" collapsed="false">
      <c r="A445" s="18" t="n">
        <v>46317</v>
      </c>
      <c r="B445" s="13" t="s">
        <v>159</v>
      </c>
      <c r="C445" s="25" t="n">
        <v>33.76</v>
      </c>
    </row>
    <row r="446" customFormat="false" ht="15" hidden="false" customHeight="false" outlineLevel="0" collapsed="false">
      <c r="A446" s="18" t="n">
        <v>46317</v>
      </c>
      <c r="B446" s="13" t="s">
        <v>167</v>
      </c>
      <c r="C446" s="25" t="n">
        <v>46.44</v>
      </c>
    </row>
    <row r="447" customFormat="false" ht="15" hidden="false" customHeight="false" outlineLevel="0" collapsed="false">
      <c r="A447" s="18" t="n">
        <v>46317</v>
      </c>
      <c r="B447" s="13" t="s">
        <v>203</v>
      </c>
      <c r="C447" s="25" t="n">
        <v>18672</v>
      </c>
    </row>
    <row r="448" customFormat="false" ht="15" hidden="false" customHeight="false" outlineLevel="0" collapsed="false">
      <c r="A448" s="18" t="n">
        <v>46317</v>
      </c>
      <c r="B448" s="13" t="s">
        <v>229</v>
      </c>
      <c r="C448" s="25" t="n">
        <v>422</v>
      </c>
    </row>
    <row r="449" customFormat="false" ht="15" hidden="false" customHeight="false" outlineLevel="0" collapsed="false">
      <c r="A449" s="18" t="n">
        <v>46317</v>
      </c>
      <c r="B449" s="13" t="s">
        <v>236</v>
      </c>
      <c r="C449" s="25" t="n">
        <v>17</v>
      </c>
    </row>
    <row r="450" customFormat="false" ht="15" hidden="false" customHeight="false" outlineLevel="0" collapsed="false">
      <c r="A450" s="18" t="n">
        <v>46317</v>
      </c>
      <c r="B450" s="13" t="s">
        <v>241</v>
      </c>
      <c r="C450" s="25" t="n">
        <v>86.27</v>
      </c>
    </row>
    <row r="451" customFormat="false" ht="15" hidden="false" customHeight="false" outlineLevel="0" collapsed="false">
      <c r="A451" s="18" t="n">
        <v>46317</v>
      </c>
      <c r="B451" s="13" t="s">
        <v>247</v>
      </c>
      <c r="C451" s="25" t="n">
        <v>3195</v>
      </c>
    </row>
    <row r="452" customFormat="false" ht="15" hidden="false" customHeight="false" outlineLevel="0" collapsed="false">
      <c r="A452" s="18" t="n">
        <v>46317</v>
      </c>
      <c r="B452" s="13" t="s">
        <v>260</v>
      </c>
      <c r="C452" s="25" t="n">
        <v>13.71</v>
      </c>
    </row>
    <row r="453" customFormat="false" ht="15" hidden="false" customHeight="false" outlineLevel="0" collapsed="false">
      <c r="A453" s="18" t="n">
        <v>46317</v>
      </c>
      <c r="B453" s="13" t="s">
        <v>265</v>
      </c>
      <c r="C453" s="25" t="n">
        <v>80.36</v>
      </c>
    </row>
    <row r="454" customFormat="false" ht="15" hidden="false" customHeight="false" outlineLevel="0" collapsed="false">
      <c r="A454" s="18" t="n">
        <v>46317</v>
      </c>
      <c r="B454" s="13" t="s">
        <v>270</v>
      </c>
      <c r="C454" s="25" t="n">
        <v>96.39</v>
      </c>
    </row>
    <row r="455" customFormat="false" ht="15" hidden="false" customHeight="false" outlineLevel="0" collapsed="false">
      <c r="A455" s="18" t="n">
        <v>46317</v>
      </c>
      <c r="B455" s="13" t="s">
        <v>275</v>
      </c>
      <c r="C455" s="25" t="n">
        <v>96.79</v>
      </c>
    </row>
    <row r="456" customFormat="false" ht="15" hidden="false" customHeight="false" outlineLevel="0" collapsed="false">
      <c r="A456" s="18" t="n">
        <v>46317</v>
      </c>
      <c r="B456" s="13" t="s">
        <v>281</v>
      </c>
      <c r="C456" s="25" t="n">
        <v>0.395</v>
      </c>
    </row>
    <row r="457" customFormat="false" ht="15" hidden="false" customHeight="false" outlineLevel="0" collapsed="false">
      <c r="A457" s="18" t="n">
        <v>46317</v>
      </c>
      <c r="B457" s="13" t="s">
        <v>290</v>
      </c>
      <c r="C457" s="25" t="n">
        <v>1.027</v>
      </c>
    </row>
    <row r="458" customFormat="false" ht="15" hidden="false" customHeight="false" outlineLevel="0" collapsed="false">
      <c r="A458" s="18" t="n">
        <v>46317</v>
      </c>
      <c r="B458" s="13" t="s">
        <v>299</v>
      </c>
      <c r="C458" s="25" t="n">
        <v>99.06</v>
      </c>
    </row>
    <row r="459" customFormat="false" ht="15" hidden="false" customHeight="false" outlineLevel="0" collapsed="false">
      <c r="A459" s="18" t="n">
        <v>46317</v>
      </c>
      <c r="B459" s="13" t="s">
        <v>304</v>
      </c>
      <c r="C459" s="25" t="n">
        <v>25.746</v>
      </c>
    </row>
    <row r="460" customFormat="false" ht="15" hidden="false" customHeight="false" outlineLevel="0" collapsed="false">
      <c r="A460" s="18" t="n">
        <v>46317</v>
      </c>
      <c r="B460" s="13" t="s">
        <v>310</v>
      </c>
      <c r="C460" s="25" t="n">
        <v>517.63</v>
      </c>
    </row>
    <row r="461" customFormat="false" ht="15" hidden="false" customHeight="false" outlineLevel="0" collapsed="false">
      <c r="A461" s="18" t="n">
        <v>46317</v>
      </c>
      <c r="B461" s="13" t="s">
        <v>327</v>
      </c>
      <c r="C461" s="25" t="n">
        <v>0.107</v>
      </c>
    </row>
    <row r="462" customFormat="false" ht="15" hidden="false" customHeight="false" outlineLevel="0" collapsed="false">
      <c r="A462" s="18" t="n">
        <v>46317</v>
      </c>
      <c r="B462" s="13" t="s">
        <v>336</v>
      </c>
      <c r="C462" s="25" t="n">
        <v>3.28</v>
      </c>
    </row>
    <row r="463" customFormat="false" ht="15" hidden="false" customHeight="false" outlineLevel="0" collapsed="false">
      <c r="A463" s="18" t="n">
        <v>46317</v>
      </c>
      <c r="B463" s="13" t="s">
        <v>342</v>
      </c>
      <c r="C463" s="25" t="n">
        <v>98.26</v>
      </c>
    </row>
    <row r="464" customFormat="false" ht="15" hidden="false" customHeight="false" outlineLevel="0" collapsed="false">
      <c r="A464" s="18" t="n">
        <v>46317</v>
      </c>
      <c r="B464" s="13" t="s">
        <v>347</v>
      </c>
      <c r="C464" s="25" t="n">
        <v>89.51</v>
      </c>
    </row>
    <row r="465" customFormat="false" ht="15" hidden="false" customHeight="false" outlineLevel="0" collapsed="false">
      <c r="A465" s="18" t="n">
        <v>46317</v>
      </c>
      <c r="B465" s="13" t="s">
        <v>364</v>
      </c>
      <c r="C465" s="25" t="n">
        <v>0.184</v>
      </c>
    </row>
    <row r="466" customFormat="false" ht="15" hidden="false" customHeight="false" outlineLevel="0" collapsed="false">
      <c r="A466" s="18" t="n">
        <v>46318</v>
      </c>
      <c r="B466" s="13" t="s">
        <v>70</v>
      </c>
      <c r="C466" s="25" t="n">
        <v>27.9</v>
      </c>
    </row>
    <row r="467" customFormat="false" ht="15" hidden="false" customHeight="false" outlineLevel="0" collapsed="false">
      <c r="A467" s="18" t="n">
        <v>46318</v>
      </c>
      <c r="B467" s="13" t="s">
        <v>82</v>
      </c>
      <c r="C467" s="25" t="n">
        <v>4.83</v>
      </c>
    </row>
    <row r="468" customFormat="false" ht="15" hidden="false" customHeight="false" outlineLevel="0" collapsed="false">
      <c r="A468" s="18" t="n">
        <v>46318</v>
      </c>
      <c r="B468" s="13" t="s">
        <v>98</v>
      </c>
      <c r="C468" s="25" t="n">
        <v>3.828</v>
      </c>
    </row>
    <row r="469" customFormat="false" ht="15" hidden="false" customHeight="false" outlineLevel="0" collapsed="false">
      <c r="A469" s="18" t="n">
        <v>46318</v>
      </c>
      <c r="B469" s="13" t="s">
        <v>123</v>
      </c>
      <c r="C469" s="25" t="n">
        <v>1.087</v>
      </c>
    </row>
    <row r="470" customFormat="false" ht="15" hidden="false" customHeight="false" outlineLevel="0" collapsed="false">
      <c r="A470" s="18" t="n">
        <v>46318</v>
      </c>
      <c r="B470" s="13" t="s">
        <v>133</v>
      </c>
      <c r="C470" s="25" t="n">
        <v>1.099</v>
      </c>
    </row>
    <row r="471" customFormat="false" ht="15" hidden="false" customHeight="false" outlineLevel="0" collapsed="false">
      <c r="A471" s="18" t="n">
        <v>46318</v>
      </c>
      <c r="B471" s="13" t="s">
        <v>139</v>
      </c>
      <c r="C471" s="25" t="n">
        <v>190.2</v>
      </c>
    </row>
    <row r="472" customFormat="false" ht="15" hidden="false" customHeight="false" outlineLevel="0" collapsed="false">
      <c r="A472" s="18" t="n">
        <v>46318</v>
      </c>
      <c r="B472" s="13" t="s">
        <v>146</v>
      </c>
      <c r="C472" s="25" t="n">
        <v>30.75</v>
      </c>
    </row>
    <row r="473" customFormat="false" ht="15" hidden="false" customHeight="false" outlineLevel="0" collapsed="false">
      <c r="A473" s="18" t="n">
        <v>46318</v>
      </c>
      <c r="B473" s="13" t="s">
        <v>153</v>
      </c>
      <c r="C473" s="25" t="n">
        <v>7.26</v>
      </c>
    </row>
    <row r="474" customFormat="false" ht="15" hidden="false" customHeight="false" outlineLevel="0" collapsed="false">
      <c r="A474" s="18" t="n">
        <v>46318</v>
      </c>
      <c r="B474" s="13" t="s">
        <v>159</v>
      </c>
      <c r="C474" s="25" t="n">
        <v>33.66</v>
      </c>
    </row>
    <row r="475" customFormat="false" ht="15" hidden="false" customHeight="false" outlineLevel="0" collapsed="false">
      <c r="A475" s="18" t="n">
        <v>46318</v>
      </c>
      <c r="B475" s="13" t="s">
        <v>167</v>
      </c>
      <c r="C475" s="25" t="n">
        <v>46.01</v>
      </c>
    </row>
    <row r="476" customFormat="false" ht="15" hidden="false" customHeight="false" outlineLevel="0" collapsed="false">
      <c r="A476" s="18" t="n">
        <v>46318</v>
      </c>
      <c r="B476" s="13" t="s">
        <v>203</v>
      </c>
      <c r="C476" s="25" t="n">
        <v>18800</v>
      </c>
    </row>
    <row r="477" customFormat="false" ht="15" hidden="false" customHeight="false" outlineLevel="0" collapsed="false">
      <c r="A477" s="18" t="n">
        <v>46318</v>
      </c>
      <c r="B477" s="13" t="s">
        <v>229</v>
      </c>
      <c r="C477" s="25" t="n">
        <v>495</v>
      </c>
    </row>
    <row r="478" customFormat="false" ht="15" hidden="false" customHeight="false" outlineLevel="0" collapsed="false">
      <c r="A478" s="18" t="n">
        <v>46318</v>
      </c>
      <c r="B478" s="13" t="s">
        <v>236</v>
      </c>
      <c r="C478" s="25" t="n">
        <v>18</v>
      </c>
    </row>
    <row r="479" customFormat="false" ht="15" hidden="false" customHeight="false" outlineLevel="0" collapsed="false">
      <c r="A479" s="18" t="n">
        <v>46318</v>
      </c>
      <c r="B479" s="13" t="s">
        <v>241</v>
      </c>
      <c r="C479" s="25" t="n">
        <v>86.82</v>
      </c>
    </row>
    <row r="480" customFormat="false" ht="15" hidden="false" customHeight="false" outlineLevel="0" collapsed="false">
      <c r="A480" s="18" t="n">
        <v>46318</v>
      </c>
      <c r="B480" s="13" t="s">
        <v>247</v>
      </c>
      <c r="C480" s="25" t="n">
        <v>3707</v>
      </c>
    </row>
    <row r="481" customFormat="false" ht="15" hidden="false" customHeight="false" outlineLevel="0" collapsed="false">
      <c r="A481" s="18" t="n">
        <v>46318</v>
      </c>
      <c r="B481" s="13" t="s">
        <v>260</v>
      </c>
      <c r="C481" s="25" t="n">
        <v>14.14</v>
      </c>
    </row>
    <row r="482" customFormat="false" ht="15" hidden="false" customHeight="false" outlineLevel="0" collapsed="false">
      <c r="A482" s="18" t="n">
        <v>46318</v>
      </c>
      <c r="B482" s="13" t="s">
        <v>265</v>
      </c>
      <c r="C482" s="25" t="n">
        <v>78.96</v>
      </c>
    </row>
    <row r="483" customFormat="false" ht="15" hidden="false" customHeight="false" outlineLevel="0" collapsed="false">
      <c r="A483" s="18" t="n">
        <v>46318</v>
      </c>
      <c r="B483" s="13" t="s">
        <v>270</v>
      </c>
      <c r="C483" s="25" t="n">
        <v>96.48</v>
      </c>
    </row>
    <row r="484" customFormat="false" ht="15" hidden="false" customHeight="false" outlineLevel="0" collapsed="false">
      <c r="A484" s="18" t="n">
        <v>46318</v>
      </c>
      <c r="B484" s="13" t="s">
        <v>275</v>
      </c>
      <c r="C484" s="25" t="n">
        <v>97.32</v>
      </c>
    </row>
    <row r="485" customFormat="false" ht="15" hidden="false" customHeight="false" outlineLevel="0" collapsed="false">
      <c r="A485" s="18" t="n">
        <v>46318</v>
      </c>
      <c r="B485" s="13" t="s">
        <v>281</v>
      </c>
      <c r="C485" s="25" t="n">
        <v>0.414</v>
      </c>
    </row>
    <row r="486" customFormat="false" ht="15" hidden="false" customHeight="false" outlineLevel="0" collapsed="false">
      <c r="A486" s="18" t="n">
        <v>46318</v>
      </c>
      <c r="B486" s="13" t="s">
        <v>290</v>
      </c>
      <c r="C486" s="25" t="n">
        <v>0.896</v>
      </c>
    </row>
    <row r="487" customFormat="false" ht="15" hidden="false" customHeight="false" outlineLevel="0" collapsed="false">
      <c r="A487" s="18" t="n">
        <v>46318</v>
      </c>
      <c r="B487" s="13" t="s">
        <v>299</v>
      </c>
      <c r="C487" s="25" t="n">
        <v>99.43</v>
      </c>
    </row>
    <row r="488" customFormat="false" ht="15" hidden="false" customHeight="false" outlineLevel="0" collapsed="false">
      <c r="A488" s="18" t="n">
        <v>46318</v>
      </c>
      <c r="B488" s="13" t="s">
        <v>304</v>
      </c>
      <c r="C488" s="25" t="n">
        <v>21.634</v>
      </c>
    </row>
    <row r="489" customFormat="false" ht="15" hidden="false" customHeight="false" outlineLevel="0" collapsed="false">
      <c r="A489" s="18" t="n">
        <v>46318</v>
      </c>
      <c r="B489" s="13" t="s">
        <v>310</v>
      </c>
      <c r="C489" s="25" t="n">
        <v>513.73</v>
      </c>
    </row>
    <row r="490" customFormat="false" ht="15" hidden="false" customHeight="false" outlineLevel="0" collapsed="false">
      <c r="A490" s="18" t="n">
        <v>46318</v>
      </c>
      <c r="B490" s="13" t="s">
        <v>327</v>
      </c>
      <c r="C490" s="25" t="n">
        <v>0.106</v>
      </c>
    </row>
    <row r="491" customFormat="false" ht="15" hidden="false" customHeight="false" outlineLevel="0" collapsed="false">
      <c r="A491" s="18" t="n">
        <v>46318</v>
      </c>
      <c r="B491" s="13" t="s">
        <v>336</v>
      </c>
      <c r="C491" s="25" t="n">
        <v>3.13</v>
      </c>
    </row>
    <row r="492" customFormat="false" ht="15" hidden="false" customHeight="false" outlineLevel="0" collapsed="false">
      <c r="A492" s="18" t="n">
        <v>46318</v>
      </c>
      <c r="B492" s="13" t="s">
        <v>342</v>
      </c>
      <c r="C492" s="25" t="n">
        <v>98.26</v>
      </c>
    </row>
    <row r="493" customFormat="false" ht="15" hidden="false" customHeight="false" outlineLevel="0" collapsed="false">
      <c r="A493" s="18" t="n">
        <v>46318</v>
      </c>
      <c r="B493" s="13" t="s">
        <v>347</v>
      </c>
      <c r="C493" s="25" t="n">
        <v>89.74</v>
      </c>
    </row>
    <row r="494" customFormat="false" ht="15" hidden="false" customHeight="false" outlineLevel="0" collapsed="false">
      <c r="A494" s="18" t="n">
        <v>46318</v>
      </c>
      <c r="B494" s="13" t="s">
        <v>364</v>
      </c>
      <c r="C494" s="25" t="n">
        <v>0.174</v>
      </c>
    </row>
  </sheetData>
  <autoFilter ref="A1:C4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30" hidden="false" customHeight="true" outlineLevel="0" collapsed="false">
      <c r="A1" s="24" t="s">
        <v>385</v>
      </c>
      <c r="B1" s="24" t="s">
        <v>56</v>
      </c>
      <c r="C1" s="24" t="s">
        <v>37</v>
      </c>
    </row>
    <row r="2" customFormat="false" ht="15" hidden="false" customHeight="false" outlineLevel="0" collapsed="false">
      <c r="A2" s="18" t="n">
        <v>46293</v>
      </c>
      <c r="B2" s="13" t="s">
        <v>358</v>
      </c>
      <c r="C2" s="21" t="n">
        <v>4.16</v>
      </c>
    </row>
    <row r="3" customFormat="false" ht="15" hidden="false" customHeight="false" outlineLevel="0" collapsed="false">
      <c r="A3" s="18" t="n">
        <v>46293</v>
      </c>
      <c r="B3" s="13" t="s">
        <v>185</v>
      </c>
      <c r="C3" s="21" t="n">
        <v>15.56</v>
      </c>
    </row>
    <row r="4" customFormat="false" ht="15" hidden="false" customHeight="false" outlineLevel="0" collapsed="false">
      <c r="A4" s="18" t="n">
        <v>46293</v>
      </c>
      <c r="B4" s="13" t="s">
        <v>353</v>
      </c>
      <c r="C4" s="21" t="n">
        <v>81.24</v>
      </c>
    </row>
    <row r="5" customFormat="false" ht="15" hidden="false" customHeight="false" outlineLevel="0" collapsed="false">
      <c r="A5" s="18" t="n">
        <v>46293</v>
      </c>
      <c r="B5" s="13" t="s">
        <v>211</v>
      </c>
      <c r="C5" s="21" t="n">
        <v>996</v>
      </c>
    </row>
    <row r="6" customFormat="false" ht="15" hidden="false" customHeight="false" outlineLevel="0" collapsed="false">
      <c r="A6" s="18" t="n">
        <v>46293</v>
      </c>
      <c r="B6" s="13" t="s">
        <v>177</v>
      </c>
      <c r="C6" s="21" t="n">
        <v>1.79</v>
      </c>
    </row>
    <row r="7" customFormat="false" ht="15" hidden="false" customHeight="false" outlineLevel="0" collapsed="false">
      <c r="A7" s="18" t="n">
        <v>46293</v>
      </c>
      <c r="B7" s="13" t="s">
        <v>190</v>
      </c>
      <c r="C7" s="21" t="n">
        <v>19.7</v>
      </c>
    </row>
    <row r="8" customFormat="false" ht="15" hidden="false" customHeight="false" outlineLevel="0" collapsed="false">
      <c r="A8" s="18" t="n">
        <v>46293</v>
      </c>
      <c r="B8" s="13" t="s">
        <v>196</v>
      </c>
      <c r="C8" s="21" t="n">
        <v>14.35</v>
      </c>
    </row>
    <row r="9" customFormat="false" ht="15" hidden="false" customHeight="false" outlineLevel="0" collapsed="false">
      <c r="A9" s="18" t="n">
        <v>46293</v>
      </c>
      <c r="B9" s="13" t="s">
        <v>322</v>
      </c>
      <c r="C9" s="21" t="n">
        <v>5.87</v>
      </c>
    </row>
    <row r="10" customFormat="false" ht="15" hidden="false" customHeight="false" outlineLevel="0" collapsed="false">
      <c r="A10" s="18" t="n">
        <v>46293</v>
      </c>
      <c r="B10" s="13" t="s">
        <v>219</v>
      </c>
      <c r="C10" s="21" t="n">
        <v>31.32</v>
      </c>
    </row>
    <row r="11" customFormat="false" ht="15" hidden="false" customHeight="false" outlineLevel="0" collapsed="false">
      <c r="A11" s="18" t="n">
        <v>46300</v>
      </c>
      <c r="B11" s="13" t="s">
        <v>358</v>
      </c>
      <c r="C11" s="21" t="n">
        <v>4.2</v>
      </c>
    </row>
    <row r="12" customFormat="false" ht="15" hidden="false" customHeight="false" outlineLevel="0" collapsed="false">
      <c r="A12" s="18" t="n">
        <v>46300</v>
      </c>
      <c r="B12" s="13" t="s">
        <v>185</v>
      </c>
      <c r="C12" s="21" t="n">
        <v>15.5</v>
      </c>
    </row>
    <row r="13" customFormat="false" ht="15" hidden="false" customHeight="false" outlineLevel="0" collapsed="false">
      <c r="A13" s="18" t="n">
        <v>46300</v>
      </c>
      <c r="B13" s="13" t="s">
        <v>353</v>
      </c>
      <c r="C13" s="21" t="n">
        <v>81.22</v>
      </c>
    </row>
    <row r="14" customFormat="false" ht="15" hidden="false" customHeight="false" outlineLevel="0" collapsed="false">
      <c r="A14" s="18" t="n">
        <v>46300</v>
      </c>
      <c r="B14" s="13" t="s">
        <v>211</v>
      </c>
      <c r="C14" s="21" t="n">
        <v>996</v>
      </c>
    </row>
    <row r="15" customFormat="false" ht="15" hidden="false" customHeight="false" outlineLevel="0" collapsed="false">
      <c r="A15" s="18" t="n">
        <v>46300</v>
      </c>
      <c r="B15" s="13" t="s">
        <v>177</v>
      </c>
      <c r="C15" s="21" t="n">
        <v>1.8</v>
      </c>
    </row>
    <row r="16" customFormat="false" ht="15" hidden="false" customHeight="false" outlineLevel="0" collapsed="false">
      <c r="A16" s="18" t="n">
        <v>46300</v>
      </c>
      <c r="B16" s="13" t="s">
        <v>190</v>
      </c>
      <c r="C16" s="21" t="n">
        <v>19.63</v>
      </c>
    </row>
    <row r="17" customFormat="false" ht="15" hidden="false" customHeight="false" outlineLevel="0" collapsed="false">
      <c r="A17" s="18" t="n">
        <v>46300</v>
      </c>
      <c r="B17" s="13" t="s">
        <v>196</v>
      </c>
      <c r="C17" s="21" t="n">
        <v>14.41</v>
      </c>
    </row>
    <row r="18" customFormat="false" ht="15" hidden="false" customHeight="false" outlineLevel="0" collapsed="false">
      <c r="A18" s="18" t="n">
        <v>46300</v>
      </c>
      <c r="B18" s="13" t="s">
        <v>322</v>
      </c>
      <c r="C18" s="21" t="n">
        <v>5.8</v>
      </c>
    </row>
    <row r="19" customFormat="false" ht="15" hidden="false" customHeight="false" outlineLevel="0" collapsed="false">
      <c r="A19" s="18" t="n">
        <v>46300</v>
      </c>
      <c r="B19" s="13" t="s">
        <v>219</v>
      </c>
      <c r="C19" s="21" t="n">
        <v>31.3</v>
      </c>
    </row>
    <row r="20" customFormat="false" ht="15" hidden="false" customHeight="false" outlineLevel="0" collapsed="false">
      <c r="A20" s="18" t="n">
        <v>46307</v>
      </c>
      <c r="B20" s="13" t="s">
        <v>358</v>
      </c>
      <c r="C20" s="21" t="n">
        <v>4.19</v>
      </c>
    </row>
    <row r="21" customFormat="false" ht="15" hidden="false" customHeight="false" outlineLevel="0" collapsed="false">
      <c r="A21" s="18" t="n">
        <v>46307</v>
      </c>
      <c r="B21" s="13" t="s">
        <v>185</v>
      </c>
      <c r="C21" s="21" t="n">
        <v>15.46</v>
      </c>
    </row>
    <row r="22" customFormat="false" ht="15" hidden="false" customHeight="false" outlineLevel="0" collapsed="false">
      <c r="A22" s="18" t="n">
        <v>46307</v>
      </c>
      <c r="B22" s="13" t="s">
        <v>353</v>
      </c>
      <c r="C22" s="21" t="n">
        <v>81.31</v>
      </c>
    </row>
    <row r="23" customFormat="false" ht="15" hidden="false" customHeight="false" outlineLevel="0" collapsed="false">
      <c r="A23" s="18" t="n">
        <v>46307</v>
      </c>
      <c r="B23" s="13" t="s">
        <v>211</v>
      </c>
      <c r="C23" s="21" t="n">
        <v>996</v>
      </c>
    </row>
    <row r="24" customFormat="false" ht="15" hidden="false" customHeight="false" outlineLevel="0" collapsed="false">
      <c r="A24" s="18" t="n">
        <v>46307</v>
      </c>
      <c r="B24" s="13" t="s">
        <v>177</v>
      </c>
      <c r="C24" s="21" t="n">
        <v>1.79</v>
      </c>
    </row>
    <row r="25" customFormat="false" ht="15" hidden="false" customHeight="false" outlineLevel="0" collapsed="false">
      <c r="A25" s="18" t="n">
        <v>46307</v>
      </c>
      <c r="B25" s="13" t="s">
        <v>190</v>
      </c>
      <c r="C25" s="21" t="n">
        <v>19.73</v>
      </c>
    </row>
    <row r="26" customFormat="false" ht="15" hidden="false" customHeight="false" outlineLevel="0" collapsed="false">
      <c r="A26" s="18" t="n">
        <v>46307</v>
      </c>
      <c r="B26" s="13" t="s">
        <v>196</v>
      </c>
      <c r="C26" s="21" t="n">
        <v>14.37</v>
      </c>
    </row>
    <row r="27" customFormat="false" ht="15" hidden="false" customHeight="false" outlineLevel="0" collapsed="false">
      <c r="A27" s="18" t="n">
        <v>46307</v>
      </c>
      <c r="B27" s="13" t="s">
        <v>322</v>
      </c>
      <c r="C27" s="21" t="n">
        <v>5.82</v>
      </c>
    </row>
    <row r="28" customFormat="false" ht="15" hidden="false" customHeight="false" outlineLevel="0" collapsed="false">
      <c r="A28" s="18" t="n">
        <v>46307</v>
      </c>
      <c r="B28" s="13" t="s">
        <v>219</v>
      </c>
      <c r="C28" s="21" t="n">
        <v>31.04</v>
      </c>
    </row>
    <row r="29" customFormat="false" ht="15" hidden="false" customHeight="false" outlineLevel="0" collapsed="false">
      <c r="A29" s="18" t="n">
        <v>46314</v>
      </c>
      <c r="B29" s="13" t="s">
        <v>358</v>
      </c>
      <c r="C29" s="21" t="n">
        <v>4.21</v>
      </c>
    </row>
    <row r="30" customFormat="false" ht="15" hidden="false" customHeight="false" outlineLevel="0" collapsed="false">
      <c r="A30" s="18" t="n">
        <v>46314</v>
      </c>
      <c r="B30" s="13" t="s">
        <v>185</v>
      </c>
      <c r="C30" s="21" t="n">
        <v>15.38</v>
      </c>
    </row>
    <row r="31" customFormat="false" ht="15" hidden="false" customHeight="false" outlineLevel="0" collapsed="false">
      <c r="A31" s="18" t="n">
        <v>46314</v>
      </c>
      <c r="B31" s="13" t="s">
        <v>353</v>
      </c>
      <c r="C31" s="21" t="n">
        <v>81.29</v>
      </c>
    </row>
    <row r="32" customFormat="false" ht="15" hidden="false" customHeight="false" outlineLevel="0" collapsed="false">
      <c r="A32" s="18" t="n">
        <v>46314</v>
      </c>
      <c r="B32" s="13" t="s">
        <v>211</v>
      </c>
      <c r="C32" s="21" t="n">
        <v>996</v>
      </c>
    </row>
    <row r="33" customFormat="false" ht="15" hidden="false" customHeight="false" outlineLevel="0" collapsed="false">
      <c r="A33" s="18" t="n">
        <v>46314</v>
      </c>
      <c r="B33" s="13" t="s">
        <v>177</v>
      </c>
      <c r="C33" s="21" t="n">
        <v>1.79</v>
      </c>
    </row>
    <row r="34" customFormat="false" ht="15" hidden="false" customHeight="false" outlineLevel="0" collapsed="false">
      <c r="A34" s="18" t="n">
        <v>46314</v>
      </c>
      <c r="B34" s="13" t="s">
        <v>190</v>
      </c>
      <c r="C34" s="21" t="n">
        <v>19.64</v>
      </c>
    </row>
    <row r="35" customFormat="false" ht="15" hidden="false" customHeight="false" outlineLevel="0" collapsed="false">
      <c r="A35" s="18" t="n">
        <v>46314</v>
      </c>
      <c r="B35" s="13" t="s">
        <v>196</v>
      </c>
      <c r="C35" s="21" t="n">
        <v>14.39</v>
      </c>
    </row>
    <row r="36" customFormat="false" ht="15" hidden="false" customHeight="false" outlineLevel="0" collapsed="false">
      <c r="A36" s="18" t="n">
        <v>46314</v>
      </c>
      <c r="B36" s="13" t="s">
        <v>322</v>
      </c>
      <c r="C36" s="21" t="n">
        <v>5.83</v>
      </c>
    </row>
    <row r="37" customFormat="false" ht="15" hidden="false" customHeight="false" outlineLevel="0" collapsed="false">
      <c r="A37" s="18" t="n">
        <v>46314</v>
      </c>
      <c r="B37" s="13" t="s">
        <v>219</v>
      </c>
      <c r="C37" s="21" t="n">
        <v>30.93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7" t="s">
        <v>56</v>
      </c>
      <c r="B1" s="17" t="s">
        <v>59</v>
      </c>
      <c r="C1" s="17" t="s">
        <v>62</v>
      </c>
      <c r="D1" s="17" t="s">
        <v>386</v>
      </c>
      <c r="E1" s="17" t="s">
        <v>387</v>
      </c>
      <c r="F1" s="17" t="s">
        <v>388</v>
      </c>
      <c r="G1" s="17" t="s">
        <v>389</v>
      </c>
      <c r="H1" s="17" t="s">
        <v>390</v>
      </c>
    </row>
    <row r="2" customFormat="false" ht="15" hidden="false" customHeight="false" outlineLevel="0" collapsed="false">
      <c r="A2" s="13" t="s">
        <v>70</v>
      </c>
      <c r="B2" s="12" t="str">
        <f aca="false">IFERROR(INDEX(Справочник_KPI!$D:$D,MATCH($A2,Справочник_KPI!$A:$A,0)),"")</f>
        <v>Выручка (net sales)</v>
      </c>
      <c r="C2" s="12" t="str">
        <f aca="false">IFERROR(INDEX(Справочник_KPI!$G:$G,MATCH($A2,Справочник_KPI!$A:$A,0)),"")</f>
        <v>sum</v>
      </c>
      <c r="D2" s="26" t="n">
        <f aca="false">IFERROR(INDEX(План_месяцы!$P:$P,MATCH($A2,План_месяцы!$A:$A,0)),"")</f>
        <v>7200</v>
      </c>
      <c r="E2" s="12" t="n">
        <f aca="false">COUNTIF(Факт_дни!$B:$B,$A2)</f>
        <v>17</v>
      </c>
      <c r="F2" s="12" t="n">
        <f aca="false">COUNTIF(Факт_недели!$B:$B,$A2)</f>
        <v>0</v>
      </c>
      <c r="G2" s="27" t="n">
        <f aca="false">IF(E2&gt;0,_xlfn.MAXIFS(Факт_дни!$A:$A,Факт_дни!$B:$B,$A2),IF(F2&gt;0,_xlfn.MAXIFS(Факт_недели!$A:$A,Факт_недели!$B:$B,$A2),""))</f>
        <v>46318</v>
      </c>
      <c r="H2" s="12" t="str">
        <f aca="false">IF(C2="formula","расчётный",IF(D2="","нет плана",IF(E2+F2=0,"нет фактов текущего периода","OK")))</f>
        <v>OK</v>
      </c>
    </row>
    <row r="3" customFormat="false" ht="15" hidden="false" customHeight="false" outlineLevel="0" collapsed="false">
      <c r="A3" s="13" t="s">
        <v>82</v>
      </c>
      <c r="B3" s="12" t="str">
        <f aca="false">IFERROR(INDEX(Справочник_KPI!$D:$D,MATCH($A3,Справочник_KPI!$A:$A,0)),"")</f>
        <v>Валовая прибыль</v>
      </c>
      <c r="C3" s="12" t="str">
        <f aca="false">IFERROR(INDEX(Справочник_KPI!$G:$G,MATCH($A3,Справочник_KPI!$A:$A,0)),"")</f>
        <v>sum</v>
      </c>
      <c r="D3" s="26" t="n">
        <f aca="false">IFERROR(INDEX(План_месяцы!$P:$P,MATCH($A3,План_месяцы!$A:$A,0)),"")</f>
        <v>1404</v>
      </c>
      <c r="E3" s="12" t="n">
        <f aca="false">COUNTIF(Факт_дни!$B:$B,$A3)</f>
        <v>17</v>
      </c>
      <c r="F3" s="12" t="n">
        <f aca="false">COUNTIF(Факт_недели!$B:$B,$A3)</f>
        <v>0</v>
      </c>
      <c r="G3" s="27" t="n">
        <f aca="false">IF(E3&gt;0,_xlfn.MAXIFS(Факт_дни!$A:$A,Факт_дни!$B:$B,$A3),IF(F3&gt;0,_xlfn.MAXIFS(Факт_недели!$A:$A,Факт_недели!$B:$B,$A3),""))</f>
        <v>46318</v>
      </c>
      <c r="H3" s="12" t="str">
        <f aca="false">IF(C3="formula","расчётный",IF(D3="","нет плана",IF(E3+F3=0,"нет фактов текущего периода","OK")))</f>
        <v>OK</v>
      </c>
    </row>
    <row r="4" customFormat="false" ht="15" hidden="false" customHeight="false" outlineLevel="0" collapsed="false">
      <c r="A4" s="13" t="s">
        <v>90</v>
      </c>
      <c r="B4" s="12" t="str">
        <f aca="false">IFERROR(INDEX(Справочник_KPI!$D:$D,MATCH($A4,Справочник_KPI!$A:$A,0)),"")</f>
        <v>Валовая маржа</v>
      </c>
      <c r="C4" s="12" t="str">
        <f aca="false">IFERROR(INDEX(Справочник_KPI!$G:$G,MATCH($A4,Справочник_KPI!$A:$A,0)),"")</f>
        <v>formula</v>
      </c>
      <c r="D4" s="26" t="str">
        <f aca="false">IFERROR(INDEX(План_месяцы!$P:$P,MATCH($A4,План_месяцы!$A:$A,0)),"")</f>
        <v/>
      </c>
      <c r="E4" s="12" t="n">
        <f aca="false">COUNTIF(Факт_дни!$B:$B,$A4)</f>
        <v>0</v>
      </c>
      <c r="F4" s="12" t="n">
        <f aca="false">COUNTIF(Факт_недели!$B:$B,$A4)</f>
        <v>0</v>
      </c>
      <c r="G4" s="27" t="str">
        <f aca="false">IF(E4&gt;0,_xlfn.MAXIFS(Факт_дни!$A:$A,Факт_дни!$B:$B,$A4),IF(F4&gt;0,_xlfn.MAXIFS(Факт_недели!$A:$A,Факт_недели!$B:$B,$A4),""))</f>
        <v/>
      </c>
      <c r="H4" s="12" t="str">
        <f aca="false">IF(C4="formula","расчётный",IF(D4="","нет плана",IF(E4+F4=0,"нет фактов текущего периода","OK")))</f>
        <v>расчётный</v>
      </c>
    </row>
    <row r="5" customFormat="false" ht="15" hidden="false" customHeight="false" outlineLevel="0" collapsed="false">
      <c r="A5" s="13" t="s">
        <v>98</v>
      </c>
      <c r="B5" s="12" t="str">
        <f aca="false">IFERROR(INDEX(Справочник_KPI!$D:$D,MATCH($A5,Справочник_KPI!$A:$A,0)),"")</f>
        <v>Операционные расходы (OPEX)</v>
      </c>
      <c r="C5" s="12" t="str">
        <f aca="false">IFERROR(INDEX(Справочник_KPI!$G:$G,MATCH($A5,Справочник_KPI!$A:$A,0)),"")</f>
        <v>sum</v>
      </c>
      <c r="D5" s="26" t="n">
        <f aca="false">IFERROR(INDEX(План_месяцы!$P:$P,MATCH($A5,План_месяцы!$A:$A,0)),"")</f>
        <v>1044</v>
      </c>
      <c r="E5" s="12" t="n">
        <f aca="false">COUNTIF(Факт_дни!$B:$B,$A5)</f>
        <v>17</v>
      </c>
      <c r="F5" s="12" t="n">
        <f aca="false">COUNTIF(Факт_недели!$B:$B,$A5)</f>
        <v>0</v>
      </c>
      <c r="G5" s="27" t="n">
        <f aca="false">IF(E5&gt;0,_xlfn.MAXIFS(Факт_дни!$A:$A,Факт_дни!$B:$B,$A5),IF(F5&gt;0,_xlfn.MAXIFS(Факт_недели!$A:$A,Факт_недели!$B:$B,$A5),""))</f>
        <v>46318</v>
      </c>
      <c r="H5" s="12" t="str">
        <f aca="false">IF(C5="formula","расчётный",IF(D5="","нет плана",IF(E5+F5=0,"нет фактов текущего периода","OK")))</f>
        <v>OK</v>
      </c>
    </row>
    <row r="6" customFormat="false" ht="15" hidden="false" customHeight="false" outlineLevel="0" collapsed="false">
      <c r="A6" s="13" t="s">
        <v>106</v>
      </c>
      <c r="B6" s="12" t="str">
        <f aca="false">IFERROR(INDEX(Справочник_KPI!$D:$D,MATCH($A6,Справочник_KPI!$A:$A,0)),"")</f>
        <v>OPEX, % выручки</v>
      </c>
      <c r="C6" s="12" t="str">
        <f aca="false">IFERROR(INDEX(Справочник_KPI!$G:$G,MATCH($A6,Справочник_KPI!$A:$A,0)),"")</f>
        <v>formula</v>
      </c>
      <c r="D6" s="26" t="str">
        <f aca="false">IFERROR(INDEX(План_месяцы!$P:$P,MATCH($A6,План_месяцы!$A:$A,0)),"")</f>
        <v/>
      </c>
      <c r="E6" s="12" t="n">
        <f aca="false">COUNTIF(Факт_дни!$B:$B,$A6)</f>
        <v>0</v>
      </c>
      <c r="F6" s="12" t="n">
        <f aca="false">COUNTIF(Факт_недели!$B:$B,$A6)</f>
        <v>0</v>
      </c>
      <c r="G6" s="27" t="str">
        <f aca="false">IF(E6&gt;0,_xlfn.MAXIFS(Факт_дни!$A:$A,Факт_дни!$B:$B,$A6),IF(F6&gt;0,_xlfn.MAXIFS(Факт_недели!$A:$A,Факт_недели!$B:$B,$A6),""))</f>
        <v/>
      </c>
      <c r="H6" s="12" t="str">
        <f aca="false">IF(C6="formula","расчётный",IF(D6="","нет плана",IF(E6+F6=0,"нет фактов текущего периода","OK")))</f>
        <v>расчётный</v>
      </c>
    </row>
    <row r="7" customFormat="false" ht="15" hidden="false" customHeight="false" outlineLevel="0" collapsed="false">
      <c r="A7" s="13" t="s">
        <v>111</v>
      </c>
      <c r="B7" s="12" t="str">
        <f aca="false">IFERROR(INDEX(Справочник_KPI!$D:$D,MATCH($A7,Справочник_KPI!$A:$A,0)),"")</f>
        <v>EBITDA</v>
      </c>
      <c r="C7" s="12" t="str">
        <f aca="false">IFERROR(INDEX(Справочник_KPI!$G:$G,MATCH($A7,Справочник_KPI!$A:$A,0)),"")</f>
        <v>formula</v>
      </c>
      <c r="D7" s="26" t="str">
        <f aca="false">IFERROR(INDEX(План_месяцы!$P:$P,MATCH($A7,План_месяцы!$A:$A,0)),"")</f>
        <v/>
      </c>
      <c r="E7" s="12" t="n">
        <f aca="false">COUNTIF(Факт_дни!$B:$B,$A7)</f>
        <v>0</v>
      </c>
      <c r="F7" s="12" t="n">
        <f aca="false">COUNTIF(Факт_недели!$B:$B,$A7)</f>
        <v>0</v>
      </c>
      <c r="G7" s="27" t="str">
        <f aca="false">IF(E7&gt;0,_xlfn.MAXIFS(Факт_дни!$A:$A,Факт_дни!$B:$B,$A7),IF(F7&gt;0,_xlfn.MAXIFS(Факт_недели!$A:$A,Факт_недели!$B:$B,$A7),""))</f>
        <v/>
      </c>
      <c r="H7" s="12" t="str">
        <f aca="false">IF(C7="formula","расчётный",IF(D7="","нет плана",IF(E7+F7=0,"нет фактов текущего периода","OK")))</f>
        <v>расчётный</v>
      </c>
    </row>
    <row r="8" customFormat="false" ht="15" hidden="false" customHeight="false" outlineLevel="0" collapsed="false">
      <c r="A8" s="13" t="s">
        <v>117</v>
      </c>
      <c r="B8" s="12" t="str">
        <f aca="false">IFERROR(INDEX(Справочник_KPI!$D:$D,MATCH($A8,Справочник_KPI!$A:$A,0)),"")</f>
        <v>EBITDA-маржа</v>
      </c>
      <c r="C8" s="12" t="str">
        <f aca="false">IFERROR(INDEX(Справочник_KPI!$G:$G,MATCH($A8,Справочник_KPI!$A:$A,0)),"")</f>
        <v>formula</v>
      </c>
      <c r="D8" s="26" t="str">
        <f aca="false">IFERROR(INDEX(План_месяцы!$P:$P,MATCH($A8,План_месяцы!$A:$A,0)),"")</f>
        <v/>
      </c>
      <c r="E8" s="12" t="n">
        <f aca="false">COUNTIF(Факт_дни!$B:$B,$A8)</f>
        <v>0</v>
      </c>
      <c r="F8" s="12" t="n">
        <f aca="false">COUNTIF(Факт_недели!$B:$B,$A8)</f>
        <v>0</v>
      </c>
      <c r="G8" s="27" t="str">
        <f aca="false">IF(E8&gt;0,_xlfn.MAXIFS(Факт_дни!$A:$A,Факт_дни!$B:$B,$A8),IF(F8&gt;0,_xlfn.MAXIFS(Факт_недели!$A:$A,Факт_недели!$B:$B,$A8),""))</f>
        <v/>
      </c>
      <c r="H8" s="12" t="str">
        <f aca="false">IF(C8="formula","расчётный",IF(D8="","нет плана",IF(E8+F8=0,"нет фактов текущего периода","OK")))</f>
        <v>расчётный</v>
      </c>
    </row>
    <row r="9" customFormat="false" ht="15" hidden="false" customHeight="false" outlineLevel="0" collapsed="false">
      <c r="A9" s="13" t="s">
        <v>123</v>
      </c>
      <c r="B9" s="12" t="str">
        <f aca="false">IFERROR(INDEX(Справочник_KPI!$D:$D,MATCH($A9,Справочник_KPI!$A:$A,0)),"")</f>
        <v>Логистика и склад (служебный)</v>
      </c>
      <c r="C9" s="12" t="str">
        <f aca="false">IFERROR(INDEX(Справочник_KPI!$G:$G,MATCH($A9,Справочник_KPI!$A:$A,0)),"")</f>
        <v>sum</v>
      </c>
      <c r="D9" s="26" t="n">
        <f aca="false">IFERROR(INDEX(План_месяцы!$P:$P,MATCH($A9,План_месяцы!$A:$A,0)),"")</f>
        <v>301.99</v>
      </c>
      <c r="E9" s="12" t="n">
        <f aca="false">COUNTIF(Факт_дни!$B:$B,$A9)</f>
        <v>17</v>
      </c>
      <c r="F9" s="12" t="n">
        <f aca="false">COUNTIF(Факт_недели!$B:$B,$A9)</f>
        <v>0</v>
      </c>
      <c r="G9" s="27" t="n">
        <f aca="false">IF(E9&gt;0,_xlfn.MAXIFS(Факт_дни!$A:$A,Факт_дни!$B:$B,$A9),IF(F9&gt;0,_xlfn.MAXIFS(Факт_недели!$A:$A,Факт_недели!$B:$B,$A9),""))</f>
        <v>46318</v>
      </c>
      <c r="H9" s="12" t="str">
        <f aca="false">IF(C9="formula","расчётный",IF(D9="","нет плана",IF(E9+F9=0,"нет фактов текущего периода","OK")))</f>
        <v>OK</v>
      </c>
    </row>
    <row r="10" customFormat="false" ht="15" hidden="false" customHeight="false" outlineLevel="0" collapsed="false">
      <c r="A10" s="13" t="s">
        <v>128</v>
      </c>
      <c r="B10" s="12" t="str">
        <f aca="false">IFERROR(INDEX(Справочник_KPI!$D:$D,MATCH($A10,Справочник_KPI!$A:$A,0)),"")</f>
        <v>Логистика, % выручки</v>
      </c>
      <c r="C10" s="12" t="str">
        <f aca="false">IFERROR(INDEX(Справочник_KPI!$G:$G,MATCH($A10,Справочник_KPI!$A:$A,0)),"")</f>
        <v>formula</v>
      </c>
      <c r="D10" s="26" t="str">
        <f aca="false">IFERROR(INDEX(План_месяцы!$P:$P,MATCH($A10,План_месяцы!$A:$A,0)),"")</f>
        <v/>
      </c>
      <c r="E10" s="12" t="n">
        <f aca="false">COUNTIF(Факт_дни!$B:$B,$A10)</f>
        <v>0</v>
      </c>
      <c r="F10" s="12" t="n">
        <f aca="false">COUNTIF(Факт_недели!$B:$B,$A10)</f>
        <v>0</v>
      </c>
      <c r="G10" s="27" t="str">
        <f aca="false">IF(E10&gt;0,_xlfn.MAXIFS(Факт_дни!$A:$A,Факт_дни!$B:$B,$A10),IF(F10&gt;0,_xlfn.MAXIFS(Факт_недели!$A:$A,Факт_недели!$B:$B,$A10),""))</f>
        <v/>
      </c>
      <c r="H10" s="12" t="str">
        <f aca="false">IF(C10="formula","расчётный",IF(D10="","нет плана",IF(E10+F10=0,"нет фактов текущего периода","OK")))</f>
        <v>расчётный</v>
      </c>
    </row>
    <row r="11" customFormat="false" ht="15" hidden="false" customHeight="false" outlineLevel="0" collapsed="false">
      <c r="A11" s="13" t="s">
        <v>133</v>
      </c>
      <c r="B11" s="12" t="str">
        <f aca="false">IFERROR(INDEX(Справочник_KPI!$D:$D,MATCH($A11,Справочник_KPI!$A:$A,0)),"")</f>
        <v>Операционный денежный поток</v>
      </c>
      <c r="C11" s="12" t="str">
        <f aca="false">IFERROR(INDEX(Справочник_KPI!$G:$G,MATCH($A11,Справочник_KPI!$A:$A,0)),"")</f>
        <v>sum</v>
      </c>
      <c r="D11" s="26" t="n">
        <f aca="false">IFERROR(INDEX(План_месяцы!$P:$P,MATCH($A11,План_месяцы!$A:$A,0)),"")</f>
        <v>251.99</v>
      </c>
      <c r="E11" s="12" t="n">
        <f aca="false">COUNTIF(Факт_дни!$B:$B,$A11)</f>
        <v>17</v>
      </c>
      <c r="F11" s="12" t="n">
        <f aca="false">COUNTIF(Факт_недели!$B:$B,$A11)</f>
        <v>0</v>
      </c>
      <c r="G11" s="27" t="n">
        <f aca="false">IF(E11&gt;0,_xlfn.MAXIFS(Факт_дни!$A:$A,Факт_дни!$B:$B,$A11),IF(F11&gt;0,_xlfn.MAXIFS(Факт_недели!$A:$A,Факт_недели!$B:$B,$A11),""))</f>
        <v>46318</v>
      </c>
      <c r="H11" s="12" t="str">
        <f aca="false">IF(C11="formula","расчётный",IF(D11="","нет плана",IF(E11+F11=0,"нет фактов текущего периода","OK")))</f>
        <v>OK</v>
      </c>
    </row>
    <row r="12" customFormat="false" ht="15" hidden="false" customHeight="false" outlineLevel="0" collapsed="false">
      <c r="A12" s="13" t="s">
        <v>139</v>
      </c>
      <c r="B12" s="12" t="str">
        <f aca="false">IFERROR(INDEX(Справочник_KPI!$D:$D,MATCH($A12,Справочник_KPI!$A:$A,0)),"")</f>
        <v>Остаток денежных средств</v>
      </c>
      <c r="C12" s="12" t="str">
        <f aca="false">IFERROR(INDEX(Справочник_KPI!$G:$G,MATCH($A12,Справочник_KPI!$A:$A,0)),"")</f>
        <v>last</v>
      </c>
      <c r="D12" s="26" t="n">
        <f aca="false">IFERROR(INDEX(План_месяцы!$P:$P,MATCH($A12,План_месяцы!$A:$A,0)),"")</f>
        <v>190</v>
      </c>
      <c r="E12" s="12" t="n">
        <f aca="false">COUNTIF(Факт_дни!$B:$B,$A12)</f>
        <v>17</v>
      </c>
      <c r="F12" s="12" t="n">
        <f aca="false">COUNTIF(Факт_недели!$B:$B,$A12)</f>
        <v>0</v>
      </c>
      <c r="G12" s="27" t="n">
        <f aca="false">IF(E12&gt;0,_xlfn.MAXIFS(Факт_дни!$A:$A,Факт_дни!$B:$B,$A12),IF(F12&gt;0,_xlfn.MAXIFS(Факт_недели!$A:$A,Факт_недели!$B:$B,$A12),""))</f>
        <v>46318</v>
      </c>
      <c r="H12" s="12" t="str">
        <f aca="false">IF(C12="formula","расчётный",IF(D12="","нет плана",IF(E12+F12=0,"нет фактов текущего периода","OK")))</f>
        <v>OK</v>
      </c>
    </row>
    <row r="13" customFormat="false" ht="15" hidden="false" customHeight="false" outlineLevel="0" collapsed="false">
      <c r="A13" s="13" t="s">
        <v>146</v>
      </c>
      <c r="B13" s="12" t="str">
        <f aca="false">IFERROR(INDEX(Справочник_KPI!$D:$D,MATCH($A13,Справочник_KPI!$A:$A,0)),"")</f>
        <v>Оборачиваемость ДЗ (DSO)</v>
      </c>
      <c r="C13" s="12" t="str">
        <f aca="false">IFERROR(INDEX(Справочник_KPI!$G:$G,MATCH($A13,Справочник_KPI!$A:$A,0)),"")</f>
        <v>last</v>
      </c>
      <c r="D13" s="26" t="n">
        <f aca="false">IFERROR(INDEX(План_месяцы!$P:$P,MATCH($A13,План_месяцы!$A:$A,0)),"")</f>
        <v>27</v>
      </c>
      <c r="E13" s="12" t="n">
        <f aca="false">COUNTIF(Факт_дни!$B:$B,$A13)</f>
        <v>17</v>
      </c>
      <c r="F13" s="12" t="n">
        <f aca="false">COUNTIF(Факт_недели!$B:$B,$A13)</f>
        <v>0</v>
      </c>
      <c r="G13" s="27" t="n">
        <f aca="false">IF(E13&gt;0,_xlfn.MAXIFS(Факт_дни!$A:$A,Факт_дни!$B:$B,$A13),IF(F13&gt;0,_xlfn.MAXIFS(Факт_недели!$A:$A,Факт_недели!$B:$B,$A13),""))</f>
        <v>46318</v>
      </c>
      <c r="H13" s="12" t="str">
        <f aca="false">IF(C13="formula","расчётный",IF(D13="","нет плана",IF(E13+F13=0,"нет фактов текущего периода","OK")))</f>
        <v>OK</v>
      </c>
    </row>
    <row r="14" customFormat="false" ht="15" hidden="false" customHeight="false" outlineLevel="0" collapsed="false">
      <c r="A14" s="13" t="s">
        <v>153</v>
      </c>
      <c r="B14" s="12" t="str">
        <f aca="false">IFERROR(INDEX(Справочник_KPI!$D:$D,MATCH($A14,Справочник_KPI!$A:$A,0)),"")</f>
        <v>Просроченная ДЗ, % от ДЗ</v>
      </c>
      <c r="C14" s="12" t="str">
        <f aca="false">IFERROR(INDEX(Справочник_KPI!$G:$G,MATCH($A14,Справочник_KPI!$A:$A,0)),"")</f>
        <v>last</v>
      </c>
      <c r="D14" s="26" t="n">
        <f aca="false">IFERROR(INDEX(План_месяцы!$P:$P,MATCH($A14,План_месяцы!$A:$A,0)),"")</f>
        <v>4.5</v>
      </c>
      <c r="E14" s="12" t="n">
        <f aca="false">COUNTIF(Факт_дни!$B:$B,$A14)</f>
        <v>17</v>
      </c>
      <c r="F14" s="12" t="n">
        <f aca="false">COUNTIF(Факт_недели!$B:$B,$A14)</f>
        <v>0</v>
      </c>
      <c r="G14" s="27" t="n">
        <f aca="false">IF(E14&gt;0,_xlfn.MAXIFS(Факт_дни!$A:$A,Факт_дни!$B:$B,$A14),IF(F14&gt;0,_xlfn.MAXIFS(Факт_недели!$A:$A,Факт_недели!$B:$B,$A14),""))</f>
        <v>46318</v>
      </c>
      <c r="H14" s="12" t="str">
        <f aca="false">IF(C14="formula","расчётный",IF(D14="","нет плана",IF(E14+F14=0,"нет фактов текущего периода","OK")))</f>
        <v>OK</v>
      </c>
    </row>
    <row r="15" customFormat="false" ht="15" hidden="false" customHeight="false" outlineLevel="0" collapsed="false">
      <c r="A15" s="13" t="s">
        <v>159</v>
      </c>
      <c r="B15" s="12" t="str">
        <f aca="false">IFERROR(INDEX(Справочник_KPI!$D:$D,MATCH($A15,Справочник_KPI!$A:$A,0)),"")</f>
        <v>Запас в днях (DIO)</v>
      </c>
      <c r="C15" s="12" t="str">
        <f aca="false">IFERROR(INDEX(Справочник_KPI!$G:$G,MATCH($A15,Справочник_KPI!$A:$A,0)),"")</f>
        <v>last</v>
      </c>
      <c r="D15" s="26" t="n">
        <f aca="false">IFERROR(INDEX(План_месяцы!$P:$P,MATCH($A15,План_месяцы!$A:$A,0)),"")</f>
        <v>31</v>
      </c>
      <c r="E15" s="12" t="n">
        <f aca="false">COUNTIF(Факт_дни!$B:$B,$A15)</f>
        <v>17</v>
      </c>
      <c r="F15" s="12" t="n">
        <f aca="false">COUNTIF(Факт_недели!$B:$B,$A15)</f>
        <v>0</v>
      </c>
      <c r="G15" s="27" t="n">
        <f aca="false">IF(E15&gt;0,_xlfn.MAXIFS(Факт_дни!$A:$A,Факт_дни!$B:$B,$A15),IF(F15&gt;0,_xlfn.MAXIFS(Факт_недели!$A:$A,Факт_недели!$B:$B,$A15),""))</f>
        <v>46318</v>
      </c>
      <c r="H15" s="12" t="str">
        <f aca="false">IF(C15="formula","расчётный",IF(D15="","нет плана",IF(E15+F15=0,"нет фактов текущего периода","OK")))</f>
        <v>OK</v>
      </c>
    </row>
    <row r="16" customFormat="false" ht="15" hidden="false" customHeight="false" outlineLevel="0" collapsed="false">
      <c r="A16" s="13" t="s">
        <v>167</v>
      </c>
      <c r="B16" s="12" t="str">
        <f aca="false">IFERROR(INDEX(Справочник_KPI!$D:$D,MATCH($A16,Справочник_KPI!$A:$A,0)),"")</f>
        <v>Отсрочка поставщикам (DPO)</v>
      </c>
      <c r="C16" s="12" t="str">
        <f aca="false">IFERROR(INDEX(Справочник_KPI!$G:$G,MATCH($A16,Справочник_KPI!$A:$A,0)),"")</f>
        <v>last</v>
      </c>
      <c r="D16" s="26" t="n">
        <f aca="false">IFERROR(INDEX(План_месяцы!$P:$P,MATCH($A16,План_месяцы!$A:$A,0)),"")</f>
        <v>46</v>
      </c>
      <c r="E16" s="12" t="n">
        <f aca="false">COUNTIF(Факт_дни!$B:$B,$A16)</f>
        <v>17</v>
      </c>
      <c r="F16" s="12" t="n">
        <f aca="false">COUNTIF(Факт_недели!$B:$B,$A16)</f>
        <v>0</v>
      </c>
      <c r="G16" s="27" t="n">
        <f aca="false">IF(E16&gt;0,_xlfn.MAXIFS(Факт_дни!$A:$A,Факт_дни!$B:$B,$A16),IF(F16&gt;0,_xlfn.MAXIFS(Факт_недели!$A:$A,Факт_недели!$B:$B,$A16),""))</f>
        <v>46318</v>
      </c>
      <c r="H16" s="12" t="str">
        <f aca="false">IF(C16="formula","расчётный",IF(D16="","нет плана",IF(E16+F16=0,"нет фактов текущего периода","OK")))</f>
        <v>OK</v>
      </c>
    </row>
    <row r="17" customFormat="false" ht="15" hidden="false" customHeight="false" outlineLevel="0" collapsed="false">
      <c r="A17" s="13" t="s">
        <v>172</v>
      </c>
      <c r="B17" s="12" t="str">
        <f aca="false">IFERROR(INDEX(Справочник_KPI!$D:$D,MATCH($A17,Справочник_KPI!$A:$A,0)),"")</f>
        <v>Цикл денежного потока (CCC)</v>
      </c>
      <c r="C17" s="12" t="str">
        <f aca="false">IFERROR(INDEX(Справочник_KPI!$G:$G,MATCH($A17,Справочник_KPI!$A:$A,0)),"")</f>
        <v>formula</v>
      </c>
      <c r="D17" s="26" t="str">
        <f aca="false">IFERROR(INDEX(План_месяцы!$P:$P,MATCH($A17,План_месяцы!$A:$A,0)),"")</f>
        <v/>
      </c>
      <c r="E17" s="12" t="n">
        <f aca="false">COUNTIF(Факт_дни!$B:$B,$A17)</f>
        <v>0</v>
      </c>
      <c r="F17" s="12" t="n">
        <f aca="false">COUNTIF(Факт_недели!$B:$B,$A17)</f>
        <v>0</v>
      </c>
      <c r="G17" s="27" t="str">
        <f aca="false">IF(E17&gt;0,_xlfn.MAXIFS(Факт_дни!$A:$A,Факт_дни!$B:$B,$A17),IF(F17&gt;0,_xlfn.MAXIFS(Факт_недели!$A:$A,Факт_недели!$B:$B,$A17),""))</f>
        <v/>
      </c>
      <c r="H17" s="12" t="str">
        <f aca="false">IF(C17="formula","расчётный",IF(D17="","нет плана",IF(E17+F17=0,"нет фактов текущего периода","OK")))</f>
        <v>расчётный</v>
      </c>
    </row>
    <row r="18" customFormat="false" ht="15" hidden="false" customHeight="false" outlineLevel="0" collapsed="false">
      <c r="A18" s="13" t="s">
        <v>177</v>
      </c>
      <c r="B18" s="12" t="str">
        <f aca="false">IFERROR(INDEX(Справочник_KPI!$D:$D,MATCH($A18,Справочник_KPI!$A:$A,0)),"")</f>
        <v>Чистый долг / EBITDA</v>
      </c>
      <c r="C18" s="12" t="str">
        <f aca="false">IFERROR(INDEX(Справочник_KPI!$G:$G,MATCH($A18,Справочник_KPI!$A:$A,0)),"")</f>
        <v>last</v>
      </c>
      <c r="D18" s="26" t="n">
        <f aca="false">IFERROR(INDEX(План_месяцы!$P:$P,MATCH($A18,План_месяцы!$A:$A,0)),"")</f>
        <v>1.4</v>
      </c>
      <c r="E18" s="12" t="n">
        <f aca="false">COUNTIF(Факт_дни!$B:$B,$A18)</f>
        <v>0</v>
      </c>
      <c r="F18" s="12" t="n">
        <f aca="false">COUNTIF(Факт_недели!$B:$B,$A18)</f>
        <v>4</v>
      </c>
      <c r="G18" s="27" t="n">
        <f aca="false">IF(E18&gt;0,_xlfn.MAXIFS(Факт_дни!$A:$A,Факт_дни!$B:$B,$A18),IF(F18&gt;0,_xlfn.MAXIFS(Факт_недели!$A:$A,Факт_недели!$B:$B,$A18),""))</f>
        <v>46314</v>
      </c>
      <c r="H18" s="12" t="str">
        <f aca="false">IF(C18="formula","расчётный",IF(D18="","нет плана",IF(E18+F18=0,"нет фактов текущего периода","OK")))</f>
        <v>OK</v>
      </c>
    </row>
    <row r="19" customFormat="false" ht="15" hidden="false" customHeight="false" outlineLevel="0" collapsed="false">
      <c r="A19" s="13" t="s">
        <v>185</v>
      </c>
      <c r="B19" s="12" t="str">
        <f aca="false">IFERROR(INDEX(Справочник_KPI!$D:$D,MATCH($A19,Справочник_KPI!$A:$A,0)),"")</f>
        <v>Средняя ставка по кредитам</v>
      </c>
      <c r="C19" s="12" t="str">
        <f aca="false">IFERROR(INDEX(Справочник_KPI!$G:$G,MATCH($A19,Справочник_KPI!$A:$A,0)),"")</f>
        <v>last</v>
      </c>
      <c r="D19" s="26" t="n">
        <f aca="false">IFERROR(INDEX(План_месяцы!$P:$P,MATCH($A19,План_месяцы!$A:$A,0)),"")</f>
        <v>15.5</v>
      </c>
      <c r="E19" s="12" t="n">
        <f aca="false">COUNTIF(Факт_дни!$B:$B,$A19)</f>
        <v>0</v>
      </c>
      <c r="F19" s="12" t="n">
        <f aca="false">COUNTIF(Факт_недели!$B:$B,$A19)</f>
        <v>4</v>
      </c>
      <c r="G19" s="27" t="n">
        <f aca="false">IF(E19&gt;0,_xlfn.MAXIFS(Факт_дни!$A:$A,Факт_дни!$B:$B,$A19),IF(F19&gt;0,_xlfn.MAXIFS(Факт_недели!$A:$A,Факт_недели!$B:$B,$A19),""))</f>
        <v>46314</v>
      </c>
      <c r="H19" s="12" t="str">
        <f aca="false">IF(C19="formula","расчётный",IF(D19="","нет плана",IF(E19+F19=0,"нет фактов текущего периода","OK")))</f>
        <v>OK</v>
      </c>
    </row>
    <row r="20" customFormat="false" ht="15" hidden="false" customHeight="false" outlineLevel="0" collapsed="false">
      <c r="A20" s="13" t="s">
        <v>190</v>
      </c>
      <c r="B20" s="12" t="str">
        <f aca="false">IFERROR(INDEX(Справочник_KPI!$D:$D,MATCH($A20,Справочник_KPI!$A:$A,0)),"")</f>
        <v>ROIC (годовой)</v>
      </c>
      <c r="C20" s="12" t="str">
        <f aca="false">IFERROR(INDEX(Справочник_KPI!$G:$G,MATCH($A20,Справочник_KPI!$A:$A,0)),"")</f>
        <v>last</v>
      </c>
      <c r="D20" s="26" t="n">
        <f aca="false">IFERROR(INDEX(План_месяцы!$P:$P,MATCH($A20,План_месяцы!$A:$A,0)),"")</f>
        <v>23</v>
      </c>
      <c r="E20" s="12" t="n">
        <f aca="false">COUNTIF(Факт_дни!$B:$B,$A20)</f>
        <v>0</v>
      </c>
      <c r="F20" s="12" t="n">
        <f aca="false">COUNTIF(Факт_недели!$B:$B,$A20)</f>
        <v>4</v>
      </c>
      <c r="G20" s="27" t="n">
        <f aca="false">IF(E20&gt;0,_xlfn.MAXIFS(Факт_дни!$A:$A,Факт_дни!$B:$B,$A20),IF(F20&gt;0,_xlfn.MAXIFS(Факт_недели!$A:$A,Факт_недели!$B:$B,$A20),""))</f>
        <v>46314</v>
      </c>
      <c r="H20" s="12" t="str">
        <f aca="false">IF(C20="formula","расчётный",IF(D20="","нет плана",IF(E20+F20=0,"нет фактов текущего периода","OK")))</f>
        <v>OK</v>
      </c>
    </row>
    <row r="21" customFormat="false" ht="15" hidden="false" customHeight="false" outlineLevel="0" collapsed="false">
      <c r="A21" s="13" t="s">
        <v>196</v>
      </c>
      <c r="B21" s="12" t="str">
        <f aca="false">IFERROR(INDEX(Справочник_KPI!$D:$D,MATCH($A21,Справочник_KPI!$A:$A,0)),"")</f>
        <v>Доля рынка в ключевых категориях</v>
      </c>
      <c r="C21" s="12" t="str">
        <f aca="false">IFERROR(INDEX(Справочник_KPI!$G:$G,MATCH($A21,Справочник_KPI!$A:$A,0)),"")</f>
        <v>last</v>
      </c>
      <c r="D21" s="26" t="n">
        <f aca="false">IFERROR(INDEX(План_месяцы!$P:$P,MATCH($A21,План_месяцы!$A:$A,0)),"")</f>
        <v>14.4</v>
      </c>
      <c r="E21" s="12" t="n">
        <f aca="false">COUNTIF(Факт_дни!$B:$B,$A21)</f>
        <v>0</v>
      </c>
      <c r="F21" s="12" t="n">
        <f aca="false">COUNTIF(Факт_недели!$B:$B,$A21)</f>
        <v>4</v>
      </c>
      <c r="G21" s="27" t="n">
        <f aca="false">IF(E21&gt;0,_xlfn.MAXIFS(Факт_дни!$A:$A,Факт_дни!$B:$B,$A21),IF(F21&gt;0,_xlfn.MAXIFS(Факт_недели!$A:$A,Факт_недели!$B:$B,$A21),""))</f>
        <v>46314</v>
      </c>
      <c r="H21" s="12" t="str">
        <f aca="false">IF(C21="formula","расчётный",IF(D21="","нет плана",IF(E21+F21=0,"нет фактов текущего периода","OK")))</f>
        <v>OK</v>
      </c>
    </row>
    <row r="22" customFormat="false" ht="15" hidden="false" customHeight="false" outlineLevel="0" collapsed="false">
      <c r="A22" s="13" t="s">
        <v>203</v>
      </c>
      <c r="B22" s="12" t="str">
        <f aca="false">IFERROR(INDEX(Справочник_KPI!$D:$D,MATCH($A22,Справочник_KPI!$A:$A,0)),"")</f>
        <v>АКБ (активные ТТ, 30 дней)</v>
      </c>
      <c r="C22" s="12" t="str">
        <f aca="false">IFERROR(INDEX(Справочник_KPI!$G:$G,MATCH($A22,Справочник_KPI!$A:$A,0)),"")</f>
        <v>last</v>
      </c>
      <c r="D22" s="26" t="n">
        <f aca="false">IFERROR(INDEX(План_месяцы!$P:$P,MATCH($A22,План_месяцы!$A:$A,0)),"")</f>
        <v>18800</v>
      </c>
      <c r="E22" s="12" t="n">
        <f aca="false">COUNTIF(Факт_дни!$B:$B,$A22)</f>
        <v>17</v>
      </c>
      <c r="F22" s="12" t="n">
        <f aca="false">COUNTIF(Факт_недели!$B:$B,$A22)</f>
        <v>0</v>
      </c>
      <c r="G22" s="27" t="n">
        <f aca="false">IF(E22&gt;0,_xlfn.MAXIFS(Факт_дни!$A:$A,Факт_дни!$B:$B,$A22),IF(F22&gt;0,_xlfn.MAXIFS(Факт_недели!$A:$A,Факт_недели!$B:$B,$A22),""))</f>
        <v>46318</v>
      </c>
      <c r="H22" s="12" t="str">
        <f aca="false">IF(C22="formula","расчётный",IF(D22="","нет плана",IF(E22+F22=0,"нет фактов текущего периода","OK")))</f>
        <v>OK</v>
      </c>
    </row>
    <row r="23" customFormat="false" ht="15" hidden="false" customHeight="false" outlineLevel="0" collapsed="false">
      <c r="A23" s="13" t="s">
        <v>211</v>
      </c>
      <c r="B23" s="12" t="str">
        <f aca="false">IFERROR(INDEX(Справочник_KPI!$D:$D,MATCH($A23,Справочник_KPI!$A:$A,0)),"")</f>
        <v>Численность персонала</v>
      </c>
      <c r="C23" s="12" t="str">
        <f aca="false">IFERROR(INDEX(Справочник_KPI!$G:$G,MATCH($A23,Справочник_KPI!$A:$A,0)),"")</f>
        <v>last</v>
      </c>
      <c r="D23" s="26" t="n">
        <f aca="false">IFERROR(INDEX(План_месяцы!$P:$P,MATCH($A23,План_месяцы!$A:$A,0)),"")</f>
        <v>1000</v>
      </c>
      <c r="E23" s="12" t="n">
        <f aca="false">COUNTIF(Факт_дни!$B:$B,$A23)</f>
        <v>0</v>
      </c>
      <c r="F23" s="12" t="n">
        <f aca="false">COUNTIF(Факт_недели!$B:$B,$A23)</f>
        <v>4</v>
      </c>
      <c r="G23" s="27" t="n">
        <f aca="false">IF(E23&gt;0,_xlfn.MAXIFS(Факт_дни!$A:$A,Факт_дни!$B:$B,$A23),IF(F23&gt;0,_xlfn.MAXIFS(Факт_недели!$A:$A,Факт_недели!$B:$B,$A23),""))</f>
        <v>46314</v>
      </c>
      <c r="H23" s="12" t="str">
        <f aca="false">IF(C23="formula","расчётный",IF(D23="","нет плана",IF(E23+F23=0,"нет фактов текущего периода","OK")))</f>
        <v>OK</v>
      </c>
    </row>
    <row r="24" customFormat="false" ht="15" hidden="false" customHeight="false" outlineLevel="0" collapsed="false">
      <c r="A24" s="13" t="s">
        <v>219</v>
      </c>
      <c r="B24" s="12" t="str">
        <f aca="false">IFERROR(INDEX(Справочник_KPI!$D:$D,MATCH($A24,Справочник_KPI!$A:$A,0)),"")</f>
        <v>Текучесть персонала (12 мес)</v>
      </c>
      <c r="C24" s="12" t="str">
        <f aca="false">IFERROR(INDEX(Справочник_KPI!$G:$G,MATCH($A24,Справочник_KPI!$A:$A,0)),"")</f>
        <v>last</v>
      </c>
      <c r="D24" s="26" t="n">
        <f aca="false">IFERROR(INDEX(План_месяцы!$P:$P,MATCH($A24,План_месяцы!$A:$A,0)),"")</f>
        <v>24</v>
      </c>
      <c r="E24" s="12" t="n">
        <f aca="false">COUNTIF(Факт_дни!$B:$B,$A24)</f>
        <v>0</v>
      </c>
      <c r="F24" s="12" t="n">
        <f aca="false">COUNTIF(Факт_недели!$B:$B,$A24)</f>
        <v>4</v>
      </c>
      <c r="G24" s="27" t="n">
        <f aca="false">IF(E24&gt;0,_xlfn.MAXIFS(Факт_дни!$A:$A,Факт_дни!$B:$B,$A24),IF(F24&gt;0,_xlfn.MAXIFS(Факт_недели!$A:$A,Факт_недели!$B:$B,$A24),""))</f>
        <v>46314</v>
      </c>
      <c r="H24" s="12" t="str">
        <f aca="false">IF(C24="formula","расчётный",IF(D24="","нет плана",IF(E24+F24=0,"нет фактов текущего периода","OK")))</f>
        <v>OK</v>
      </c>
    </row>
    <row r="25" customFormat="false" ht="15" hidden="false" customHeight="false" outlineLevel="0" collapsed="false">
      <c r="A25" s="13" t="s">
        <v>224</v>
      </c>
      <c r="B25" s="12" t="str">
        <f aca="false">IFERROR(INDEX(Справочник_KPI!$D:$D,MATCH($A25,Справочник_KPI!$A:$A,0)),"")</f>
        <v>Выручка на сотрудника (годовая)</v>
      </c>
      <c r="C25" s="12" t="str">
        <f aca="false">IFERROR(INDEX(Справочник_KPI!$G:$G,MATCH($A25,Справочник_KPI!$A:$A,0)),"")</f>
        <v>formula</v>
      </c>
      <c r="D25" s="26" t="str">
        <f aca="false">IFERROR(INDEX(План_месяцы!$P:$P,MATCH($A25,План_месяцы!$A:$A,0)),"")</f>
        <v/>
      </c>
      <c r="E25" s="12" t="n">
        <f aca="false">COUNTIF(Факт_дни!$B:$B,$A25)</f>
        <v>0</v>
      </c>
      <c r="F25" s="12" t="n">
        <f aca="false">COUNTIF(Факт_недели!$B:$B,$A25)</f>
        <v>0</v>
      </c>
      <c r="G25" s="27" t="str">
        <f aca="false">IF(E25&gt;0,_xlfn.MAXIFS(Факт_дни!$A:$A,Факт_дни!$B:$B,$A25),IF(F25&gt;0,_xlfn.MAXIFS(Факт_недели!$A:$A,Факт_недели!$B:$B,$A25),""))</f>
        <v/>
      </c>
      <c r="H25" s="12" t="str">
        <f aca="false">IF(C25="formula","расчётный",IF(D25="","нет плана",IF(E25+F25=0,"нет фактов текущего периода","OK")))</f>
        <v>расчётный</v>
      </c>
    </row>
    <row r="26" customFormat="false" ht="15" hidden="false" customHeight="false" outlineLevel="0" collapsed="false">
      <c r="A26" s="13" t="s">
        <v>229</v>
      </c>
      <c r="B26" s="12" t="str">
        <f aca="false">IFERROR(INDEX(Справочник_KPI!$D:$D,MATCH($A26,Справочник_KPI!$A:$A,0)),"")</f>
        <v>Объём отгрузок</v>
      </c>
      <c r="C26" s="12" t="str">
        <f aca="false">IFERROR(INDEX(Справочник_KPI!$G:$G,MATCH($A26,Справочник_KPI!$A:$A,0)),"")</f>
        <v>sum</v>
      </c>
      <c r="D26" s="26" t="n">
        <f aca="false">IFERROR(INDEX(План_месяцы!$P:$P,MATCH($A26,План_месяцы!$A:$A,0)),"")</f>
        <v>116000</v>
      </c>
      <c r="E26" s="12" t="n">
        <f aca="false">COUNTIF(Факт_дни!$B:$B,$A26)</f>
        <v>17</v>
      </c>
      <c r="F26" s="12" t="n">
        <f aca="false">COUNTIF(Факт_недели!$B:$B,$A26)</f>
        <v>0</v>
      </c>
      <c r="G26" s="27" t="n">
        <f aca="false">IF(E26&gt;0,_xlfn.MAXIFS(Факт_дни!$A:$A,Факт_дни!$B:$B,$A26),IF(F26&gt;0,_xlfn.MAXIFS(Факт_недели!$A:$A,Факт_недели!$B:$B,$A26),""))</f>
        <v>46318</v>
      </c>
      <c r="H26" s="12" t="str">
        <f aca="false">IF(C26="formula","расчётный",IF(D26="","нет плана",IF(E26+F26=0,"нет фактов текущего периода","OK")))</f>
        <v>OK</v>
      </c>
    </row>
    <row r="27" customFormat="false" ht="15" hidden="false" customHeight="false" outlineLevel="0" collapsed="false">
      <c r="A27" s="13" t="s">
        <v>236</v>
      </c>
      <c r="B27" s="12" t="str">
        <f aca="false">IFERROR(INDEX(Справочник_KPI!$D:$D,MATCH($A27,Справочник_KPI!$A:$A,0)),"")</f>
        <v>Новые ТТ</v>
      </c>
      <c r="C27" s="12" t="str">
        <f aca="false">IFERROR(INDEX(Справочник_KPI!$G:$G,MATCH($A27,Справочник_KPI!$A:$A,0)),"")</f>
        <v>sum</v>
      </c>
      <c r="D27" s="26" t="n">
        <f aca="false">IFERROR(INDEX(План_месяцы!$P:$P,MATCH($A27,План_месяцы!$A:$A,0)),"")</f>
        <v>5400</v>
      </c>
      <c r="E27" s="12" t="n">
        <f aca="false">COUNTIF(Факт_дни!$B:$B,$A27)</f>
        <v>17</v>
      </c>
      <c r="F27" s="12" t="n">
        <f aca="false">COUNTIF(Факт_недели!$B:$B,$A27)</f>
        <v>0</v>
      </c>
      <c r="G27" s="27" t="n">
        <f aca="false">IF(E27&gt;0,_xlfn.MAXIFS(Факт_дни!$A:$A,Факт_дни!$B:$B,$A27),IF(F27&gt;0,_xlfn.MAXIFS(Факт_недели!$A:$A,Факт_недели!$B:$B,$A27),""))</f>
        <v>46318</v>
      </c>
      <c r="H27" s="12" t="str">
        <f aca="false">IF(C27="formula","расчётный",IF(D27="","нет плана",IF(E27+F27=0,"нет фактов текущего периода","OK")))</f>
        <v>OK</v>
      </c>
    </row>
    <row r="28" customFormat="false" ht="15" hidden="false" customHeight="false" outlineLevel="0" collapsed="false">
      <c r="A28" s="13" t="s">
        <v>241</v>
      </c>
      <c r="B28" s="12" t="str">
        <f aca="false">IFERROR(INDEX(Справочник_KPI!$D:$D,MATCH($A28,Справочник_KPI!$A:$A,0)),"")</f>
        <v>Числовая дистрибуция must-list</v>
      </c>
      <c r="C28" s="12" t="str">
        <f aca="false">IFERROR(INDEX(Справочник_KPI!$G:$G,MATCH($A28,Справочник_KPI!$A:$A,0)),"")</f>
        <v>avg</v>
      </c>
      <c r="D28" s="26" t="n">
        <f aca="false">IFERROR(INDEX(План_месяцы!$P:$P,MATCH($A28,План_месяцы!$A:$A,0)),"")</f>
        <v>85</v>
      </c>
      <c r="E28" s="12" t="n">
        <f aca="false">COUNTIF(Факт_дни!$B:$B,$A28)</f>
        <v>17</v>
      </c>
      <c r="F28" s="12" t="n">
        <f aca="false">COUNTIF(Факт_недели!$B:$B,$A28)</f>
        <v>0</v>
      </c>
      <c r="G28" s="27" t="n">
        <f aca="false">IF(E28&gt;0,_xlfn.MAXIFS(Факт_дни!$A:$A,Факт_дни!$B:$B,$A28),IF(F28&gt;0,_xlfn.MAXIFS(Факт_недели!$A:$A,Факт_недели!$B:$B,$A28),""))</f>
        <v>46318</v>
      </c>
      <c r="H28" s="12" t="str">
        <f aca="false">IF(C28="formula","расчётный",IF(D28="","нет плана",IF(E28+F28=0,"нет фактов текущего периода","OK")))</f>
        <v>OK</v>
      </c>
    </row>
    <row r="29" customFormat="false" ht="15" hidden="false" customHeight="false" outlineLevel="0" collapsed="false">
      <c r="A29" s="13" t="s">
        <v>247</v>
      </c>
      <c r="B29" s="12" t="str">
        <f aca="false">IFERROR(INDEX(Справочник_KPI!$D:$D,MATCH($A29,Справочник_KPI!$A:$A,0)),"")</f>
        <v>Количество заказов</v>
      </c>
      <c r="C29" s="12" t="str">
        <f aca="false">IFERROR(INDEX(Справочник_KPI!$G:$G,MATCH($A29,Справочник_KPI!$A:$A,0)),"")</f>
        <v>sum</v>
      </c>
      <c r="D29" s="26" t="n">
        <f aca="false">IFERROR(INDEX(План_месяцы!$P:$P,MATCH($A29,План_месяцы!$A:$A,0)),"")</f>
        <v>837000</v>
      </c>
      <c r="E29" s="12" t="n">
        <f aca="false">COUNTIF(Факт_дни!$B:$B,$A29)</f>
        <v>17</v>
      </c>
      <c r="F29" s="12" t="n">
        <f aca="false">COUNTIF(Факт_недели!$B:$B,$A29)</f>
        <v>0</v>
      </c>
      <c r="G29" s="27" t="n">
        <f aca="false">IF(E29&gt;0,_xlfn.MAXIFS(Факт_дни!$A:$A,Факт_дни!$B:$B,$A29),IF(F29&gt;0,_xlfn.MAXIFS(Факт_недели!$A:$A,Факт_недели!$B:$B,$A29),""))</f>
        <v>46318</v>
      </c>
      <c r="H29" s="12" t="str">
        <f aca="false">IF(C29="formula","расчётный",IF(D29="","нет плана",IF(E29+F29=0,"нет фактов текущего периода","OK")))</f>
        <v>OK</v>
      </c>
    </row>
    <row r="30" customFormat="false" ht="15" hidden="false" customHeight="false" outlineLevel="0" collapsed="false">
      <c r="A30" s="13" t="s">
        <v>254</v>
      </c>
      <c r="B30" s="12" t="str">
        <f aca="false">IFERROR(INDEX(Справочник_KPI!$D:$D,MATCH($A30,Справочник_KPI!$A:$A,0)),"")</f>
        <v>Средний заказ (drop size)</v>
      </c>
      <c r="C30" s="12" t="str">
        <f aca="false">IFERROR(INDEX(Справочник_KPI!$G:$G,MATCH($A30,Справочник_KPI!$A:$A,0)),"")</f>
        <v>formula</v>
      </c>
      <c r="D30" s="26" t="str">
        <f aca="false">IFERROR(INDEX(План_месяцы!$P:$P,MATCH($A30,План_месяцы!$A:$A,0)),"")</f>
        <v/>
      </c>
      <c r="E30" s="12" t="n">
        <f aca="false">COUNTIF(Факт_дни!$B:$B,$A30)</f>
        <v>0</v>
      </c>
      <c r="F30" s="12" t="n">
        <f aca="false">COUNTIF(Факт_недели!$B:$B,$A30)</f>
        <v>0</v>
      </c>
      <c r="G30" s="27" t="str">
        <f aca="false">IF(E30&gt;0,_xlfn.MAXIFS(Факт_дни!$A:$A,Факт_дни!$B:$B,$A30),IF(F30&gt;0,_xlfn.MAXIFS(Факт_недели!$A:$A,Факт_недели!$B:$B,$A30),""))</f>
        <v/>
      </c>
      <c r="H30" s="12" t="str">
        <f aca="false">IF(C30="formula","расчётный",IF(D30="","нет плана",IF(E30+F30=0,"нет фактов текущего периода","OK")))</f>
        <v>расчётный</v>
      </c>
    </row>
    <row r="31" customFormat="false" ht="15" hidden="false" customHeight="false" outlineLevel="0" collapsed="false">
      <c r="A31" s="13" t="s">
        <v>260</v>
      </c>
      <c r="B31" s="12" t="str">
        <f aca="false">IFERROR(INDEX(Справочник_KPI!$D:$D,MATCH($A31,Справочник_KPI!$A:$A,0)),"")</f>
        <v>Строк (SKU) в заказе</v>
      </c>
      <c r="C31" s="12" t="str">
        <f aca="false">IFERROR(INDEX(Справочник_KPI!$G:$G,MATCH($A31,Справочник_KPI!$A:$A,0)),"")</f>
        <v>avg</v>
      </c>
      <c r="D31" s="26" t="n">
        <f aca="false">IFERROR(INDEX(План_месяцы!$P:$P,MATCH($A31,План_месяцы!$A:$A,0)),"")</f>
        <v>14</v>
      </c>
      <c r="E31" s="12" t="n">
        <f aca="false">COUNTIF(Факт_дни!$B:$B,$A31)</f>
        <v>17</v>
      </c>
      <c r="F31" s="12" t="n">
        <f aca="false">COUNTIF(Факт_недели!$B:$B,$A31)</f>
        <v>0</v>
      </c>
      <c r="G31" s="27" t="n">
        <f aca="false">IF(E31&gt;0,_xlfn.MAXIFS(Факт_дни!$A:$A,Факт_дни!$B:$B,$A31),IF(F31&gt;0,_xlfn.MAXIFS(Факт_недели!$A:$A,Факт_недели!$B:$B,$A31),""))</f>
        <v>46318</v>
      </c>
      <c r="H31" s="12" t="str">
        <f aca="false">IF(C31="formula","расчётный",IF(D31="","нет плана",IF(E31+F31=0,"нет фактов текущего периода","OK")))</f>
        <v>OK</v>
      </c>
    </row>
    <row r="32" customFormat="false" ht="15" hidden="false" customHeight="false" outlineLevel="0" collapsed="false">
      <c r="A32" s="13" t="s">
        <v>265</v>
      </c>
      <c r="B32" s="12" t="str">
        <f aca="false">IFERROR(INDEX(Справочник_KPI!$D:$D,MATCH($A32,Справочник_KPI!$A:$A,0)),"")</f>
        <v>Результативность визитов (strike rate)</v>
      </c>
      <c r="C32" s="12" t="str">
        <f aca="false">IFERROR(INDEX(Справочник_KPI!$G:$G,MATCH($A32,Справочник_KPI!$A:$A,0)),"")</f>
        <v>avg</v>
      </c>
      <c r="D32" s="26" t="n">
        <f aca="false">IFERROR(INDEX(План_месяцы!$P:$P,MATCH($A32,План_месяцы!$A:$A,0)),"")</f>
        <v>78</v>
      </c>
      <c r="E32" s="12" t="n">
        <f aca="false">COUNTIF(Факт_дни!$B:$B,$A32)</f>
        <v>17</v>
      </c>
      <c r="F32" s="12" t="n">
        <f aca="false">COUNTIF(Факт_недели!$B:$B,$A32)</f>
        <v>0</v>
      </c>
      <c r="G32" s="27" t="n">
        <f aca="false">IF(E32&gt;0,_xlfn.MAXIFS(Факт_дни!$A:$A,Факт_дни!$B:$B,$A32),IF(F32&gt;0,_xlfn.MAXIFS(Факт_недели!$A:$A,Факт_недели!$B:$B,$A32),""))</f>
        <v>46318</v>
      </c>
      <c r="H32" s="12" t="str">
        <f aca="false">IF(C32="formula","расчётный",IF(D32="","нет плана",IF(E32+F32=0,"нет фактов текущего периода","OK")))</f>
        <v>OK</v>
      </c>
    </row>
    <row r="33" customFormat="false" ht="15" hidden="false" customHeight="false" outlineLevel="0" collapsed="false">
      <c r="A33" s="13" t="s">
        <v>270</v>
      </c>
      <c r="B33" s="12" t="str">
        <f aca="false">IFERROR(INDEX(Справочник_KPI!$D:$D,MATCH($A33,Справочник_KPI!$A:$A,0)),"")</f>
        <v>Выполнение маршрутов ТП</v>
      </c>
      <c r="C33" s="12" t="str">
        <f aca="false">IFERROR(INDEX(Справочник_KPI!$G:$G,MATCH($A33,Справочник_KPI!$A:$A,0)),"")</f>
        <v>avg</v>
      </c>
      <c r="D33" s="26" t="n">
        <f aca="false">IFERROR(INDEX(План_месяцы!$P:$P,MATCH($A33,План_месяцы!$A:$A,0)),"")</f>
        <v>95</v>
      </c>
      <c r="E33" s="12" t="n">
        <f aca="false">COUNTIF(Факт_дни!$B:$B,$A33)</f>
        <v>17</v>
      </c>
      <c r="F33" s="12" t="n">
        <f aca="false">COUNTIF(Факт_недели!$B:$B,$A33)</f>
        <v>0</v>
      </c>
      <c r="G33" s="27" t="n">
        <f aca="false">IF(E33&gt;0,_xlfn.MAXIFS(Факт_дни!$A:$A,Факт_дни!$B:$B,$A33),IF(F33&gt;0,_xlfn.MAXIFS(Факт_недели!$A:$A,Факт_недели!$B:$B,$A33),""))</f>
        <v>46318</v>
      </c>
      <c r="H33" s="12" t="str">
        <f aca="false">IF(C33="formula","расчётный",IF(D33="","нет плана",IF(E33+F33=0,"нет фактов текущего периода","OK")))</f>
        <v>OK</v>
      </c>
    </row>
    <row r="34" customFormat="false" ht="15" hidden="false" customHeight="false" outlineLevel="0" collapsed="false">
      <c r="A34" s="13" t="s">
        <v>275</v>
      </c>
      <c r="B34" s="12" t="str">
        <f aca="false">IFERROR(INDEX(Справочник_KPI!$D:$D,MATCH($A34,Справочник_KPI!$A:$A,0)),"")</f>
        <v>OTIF клиентам</v>
      </c>
      <c r="C34" s="12" t="str">
        <f aca="false">IFERROR(INDEX(Справочник_KPI!$G:$G,MATCH($A34,Справочник_KPI!$A:$A,0)),"")</f>
        <v>avg</v>
      </c>
      <c r="D34" s="26" t="n">
        <f aca="false">IFERROR(INDEX(План_месяцы!$P:$P,MATCH($A34,План_месяцы!$A:$A,0)),"")</f>
        <v>96.25</v>
      </c>
      <c r="E34" s="12" t="n">
        <f aca="false">COUNTIF(Факт_дни!$B:$B,$A34)</f>
        <v>17</v>
      </c>
      <c r="F34" s="12" t="n">
        <f aca="false">COUNTIF(Факт_недели!$B:$B,$A34)</f>
        <v>0</v>
      </c>
      <c r="G34" s="27" t="n">
        <f aca="false">IF(E34&gt;0,_xlfn.MAXIFS(Факт_дни!$A:$A,Факт_дни!$B:$B,$A34),IF(F34&gt;0,_xlfn.MAXIFS(Факт_недели!$A:$A,Факт_недели!$B:$B,$A34),""))</f>
        <v>46318</v>
      </c>
      <c r="H34" s="12" t="str">
        <f aca="false">IF(C34="formula","расчётный",IF(D34="","нет плана",IF(E34+F34=0,"нет фактов текущего периода","OK")))</f>
        <v>OK</v>
      </c>
    </row>
    <row r="35" customFormat="false" ht="15" hidden="false" customHeight="false" outlineLevel="0" collapsed="false">
      <c r="A35" s="13" t="s">
        <v>281</v>
      </c>
      <c r="B35" s="12" t="str">
        <f aca="false">IFERROR(INDEX(Справочник_KPI!$D:$D,MATCH($A35,Справочник_KPI!$A:$A,0)),"")</f>
        <v>Возвраты (служебный)</v>
      </c>
      <c r="C35" s="12" t="str">
        <f aca="false">IFERROR(INDEX(Справочник_KPI!$G:$G,MATCH($A35,Справочник_KPI!$A:$A,0)),"")</f>
        <v>sum</v>
      </c>
      <c r="D35" s="26" t="n">
        <f aca="false">IFERROR(INDEX(План_месяцы!$P:$P,MATCH($A35,План_месяцы!$A:$A,0)),"")</f>
        <v>86.4</v>
      </c>
      <c r="E35" s="12" t="n">
        <f aca="false">COUNTIF(Факт_дни!$B:$B,$A35)</f>
        <v>17</v>
      </c>
      <c r="F35" s="12" t="n">
        <f aca="false">COUNTIF(Факт_недели!$B:$B,$A35)</f>
        <v>0</v>
      </c>
      <c r="G35" s="27" t="n">
        <f aca="false">IF(E35&gt;0,_xlfn.MAXIFS(Факт_дни!$A:$A,Факт_дни!$B:$B,$A35),IF(F35&gt;0,_xlfn.MAXIFS(Факт_недели!$A:$A,Факт_недели!$B:$B,$A35),""))</f>
        <v>46318</v>
      </c>
      <c r="H35" s="12" t="str">
        <f aca="false">IF(C35="formula","расчётный",IF(D35="","нет плана",IF(E35+F35=0,"нет фактов текущего периода","OK")))</f>
        <v>OK</v>
      </c>
    </row>
    <row r="36" customFormat="false" ht="15" hidden="false" customHeight="false" outlineLevel="0" collapsed="false">
      <c r="A36" s="13" t="s">
        <v>285</v>
      </c>
      <c r="B36" s="12" t="str">
        <f aca="false">IFERROR(INDEX(Справочник_KPI!$D:$D,MATCH($A36,Справочник_KPI!$A:$A,0)),"")</f>
        <v>Возвраты, % выручки</v>
      </c>
      <c r="C36" s="12" t="str">
        <f aca="false">IFERROR(INDEX(Справочник_KPI!$G:$G,MATCH($A36,Справочник_KPI!$A:$A,0)),"")</f>
        <v>formula</v>
      </c>
      <c r="D36" s="26" t="str">
        <f aca="false">IFERROR(INDEX(План_месяцы!$P:$P,MATCH($A36,План_месяцы!$A:$A,0)),"")</f>
        <v/>
      </c>
      <c r="E36" s="12" t="n">
        <f aca="false">COUNTIF(Факт_дни!$B:$B,$A36)</f>
        <v>0</v>
      </c>
      <c r="F36" s="12" t="n">
        <f aca="false">COUNTIF(Факт_недели!$B:$B,$A36)</f>
        <v>0</v>
      </c>
      <c r="G36" s="27" t="str">
        <f aca="false">IF(E36&gt;0,_xlfn.MAXIFS(Факт_дни!$A:$A,Факт_дни!$B:$B,$A36),IF(F36&gt;0,_xlfn.MAXIFS(Факт_недели!$A:$A,Факт_недели!$B:$B,$A36),""))</f>
        <v/>
      </c>
      <c r="H36" s="12" t="str">
        <f aca="false">IF(C36="formula","расчётный",IF(D36="","нет плана",IF(E36+F36=0,"нет фактов текущего периода","OK")))</f>
        <v>расчётный</v>
      </c>
    </row>
    <row r="37" customFormat="false" ht="15" hidden="false" customHeight="false" outlineLevel="0" collapsed="false">
      <c r="A37" s="13" t="s">
        <v>290</v>
      </c>
      <c r="B37" s="12" t="str">
        <f aca="false">IFERROR(INDEX(Справочник_KPI!$D:$D,MATCH($A37,Справочник_KPI!$A:$A,0)),"")</f>
        <v>Скидки и промо (служебный)</v>
      </c>
      <c r="C37" s="12" t="str">
        <f aca="false">IFERROR(INDEX(Справочник_KPI!$G:$G,MATCH($A37,Справочник_KPI!$A:$A,0)),"")</f>
        <v>sum</v>
      </c>
      <c r="D37" s="26" t="n">
        <f aca="false">IFERROR(INDEX(План_месяцы!$P:$P,MATCH($A37,План_месяцы!$A:$A,0)),"")</f>
        <v>251.99</v>
      </c>
      <c r="E37" s="12" t="n">
        <f aca="false">COUNTIF(Факт_дни!$B:$B,$A37)</f>
        <v>17</v>
      </c>
      <c r="F37" s="12" t="n">
        <f aca="false">COUNTIF(Факт_недели!$B:$B,$A37)</f>
        <v>0</v>
      </c>
      <c r="G37" s="27" t="n">
        <f aca="false">IF(E37&gt;0,_xlfn.MAXIFS(Факт_дни!$A:$A,Факт_дни!$B:$B,$A37),IF(F37&gt;0,_xlfn.MAXIFS(Факт_недели!$A:$A,Факт_недели!$B:$B,$A37),""))</f>
        <v>46318</v>
      </c>
      <c r="H37" s="12" t="str">
        <f aca="false">IF(C37="formula","расчётный",IF(D37="","нет плана",IF(E37+F37=0,"нет фактов текущего периода","OK")))</f>
        <v>OK</v>
      </c>
    </row>
    <row r="38" customFormat="false" ht="15" hidden="false" customHeight="false" outlineLevel="0" collapsed="false">
      <c r="A38" s="13" t="s">
        <v>294</v>
      </c>
      <c r="B38" s="12" t="str">
        <f aca="false">IFERROR(INDEX(Справочник_KPI!$D:$D,MATCH($A38,Справочник_KPI!$A:$A,0)),"")</f>
        <v>Скидки и промо, % выручки</v>
      </c>
      <c r="C38" s="12" t="str">
        <f aca="false">IFERROR(INDEX(Справочник_KPI!$G:$G,MATCH($A38,Справочник_KPI!$A:$A,0)),"")</f>
        <v>formula</v>
      </c>
      <c r="D38" s="26" t="str">
        <f aca="false">IFERROR(INDEX(План_месяцы!$P:$P,MATCH($A38,План_месяцы!$A:$A,0)),"")</f>
        <v/>
      </c>
      <c r="E38" s="12" t="n">
        <f aca="false">COUNTIF(Факт_дни!$B:$B,$A38)</f>
        <v>0</v>
      </c>
      <c r="F38" s="12" t="n">
        <f aca="false">COUNTIF(Факт_недели!$B:$B,$A38)</f>
        <v>0</v>
      </c>
      <c r="G38" s="27" t="str">
        <f aca="false">IF(E38&gt;0,_xlfn.MAXIFS(Факт_дни!$A:$A,Факт_дни!$B:$B,$A38),IF(F38&gt;0,_xlfn.MAXIFS(Факт_недели!$A:$A,Факт_недели!$B:$B,$A38),""))</f>
        <v/>
      </c>
      <c r="H38" s="12" t="str">
        <f aca="false">IF(C38="formula","расчётный",IF(D38="","нет плана",IF(E38+F38=0,"нет фактов текущего периода","OK")))</f>
        <v>расчётный</v>
      </c>
    </row>
    <row r="39" customFormat="false" ht="15" hidden="false" customHeight="false" outlineLevel="0" collapsed="false">
      <c r="A39" s="13" t="s">
        <v>299</v>
      </c>
      <c r="B39" s="12" t="str">
        <f aca="false">IFERROR(INDEX(Справочник_KPI!$D:$D,MATCH($A39,Справочник_KPI!$A:$A,0)),"")</f>
        <v>Инкассация ДЗ (собрано / к оплате)</v>
      </c>
      <c r="C39" s="12" t="str">
        <f aca="false">IFERROR(INDEX(Справочник_KPI!$G:$G,MATCH($A39,Справочник_KPI!$A:$A,0)),"")</f>
        <v>avg</v>
      </c>
      <c r="D39" s="26" t="n">
        <f aca="false">IFERROR(INDEX(План_месяцы!$P:$P,MATCH($A39,План_месяцы!$A:$A,0)),"")</f>
        <v>98</v>
      </c>
      <c r="E39" s="12" t="n">
        <f aca="false">COUNTIF(Факт_дни!$B:$B,$A39)</f>
        <v>17</v>
      </c>
      <c r="F39" s="12" t="n">
        <f aca="false">COUNTIF(Факт_недели!$B:$B,$A39)</f>
        <v>0</v>
      </c>
      <c r="G39" s="27" t="n">
        <f aca="false">IF(E39&gt;0,_xlfn.MAXIFS(Факт_дни!$A:$A,Факт_дни!$B:$B,$A39),IF(F39&gt;0,_xlfn.MAXIFS(Факт_недели!$A:$A,Факт_недели!$B:$B,$A39),""))</f>
        <v>46318</v>
      </c>
      <c r="H39" s="12" t="str">
        <f aca="false">IF(C39="formula","расчётный",IF(D39="","нет плана",IF(E39+F39=0,"нет фактов текущего периода","OK")))</f>
        <v>OK</v>
      </c>
    </row>
    <row r="40" customFormat="false" ht="15" hidden="false" customHeight="false" outlineLevel="0" collapsed="false">
      <c r="A40" s="13" t="s">
        <v>304</v>
      </c>
      <c r="B40" s="12" t="str">
        <f aca="false">IFERROR(INDEX(Справочник_KPI!$D:$D,MATCH($A40,Справочник_KPI!$A:$A,0)),"")</f>
        <v>Объём закупок</v>
      </c>
      <c r="C40" s="12" t="str">
        <f aca="false">IFERROR(INDEX(Справочник_KPI!$G:$G,MATCH($A40,Справочник_KPI!$A:$A,0)),"")</f>
        <v>sum</v>
      </c>
      <c r="D40" s="26" t="n">
        <f aca="false">IFERROR(INDEX(План_месяцы!$P:$P,MATCH($A40,План_месяцы!$A:$A,0)),"")</f>
        <v>5831.99</v>
      </c>
      <c r="E40" s="12" t="n">
        <f aca="false">COUNTIF(Факт_дни!$B:$B,$A40)</f>
        <v>17</v>
      </c>
      <c r="F40" s="12" t="n">
        <f aca="false">COUNTIF(Факт_недели!$B:$B,$A40)</f>
        <v>0</v>
      </c>
      <c r="G40" s="27" t="n">
        <f aca="false">IF(E40&gt;0,_xlfn.MAXIFS(Факт_дни!$A:$A,Факт_дни!$B:$B,$A40),IF(F40&gt;0,_xlfn.MAXIFS(Факт_недели!$A:$A,Факт_недели!$B:$B,$A40),""))</f>
        <v>46318</v>
      </c>
      <c r="H40" s="12" t="str">
        <f aca="false">IF(C40="formula","расчётный",IF(D40="","нет плана",IF(E40+F40=0,"нет фактов текущего периода","OK")))</f>
        <v>OK</v>
      </c>
    </row>
    <row r="41" customFormat="false" ht="15" hidden="false" customHeight="false" outlineLevel="0" collapsed="false">
      <c r="A41" s="13" t="s">
        <v>310</v>
      </c>
      <c r="B41" s="12" t="str">
        <f aca="false">IFERROR(INDEX(Справочник_KPI!$D:$D,MATCH($A41,Справочник_KPI!$A:$A,0)),"")</f>
        <v>Товарный запас</v>
      </c>
      <c r="C41" s="12" t="str">
        <f aca="false">IFERROR(INDEX(Справочник_KPI!$G:$G,MATCH($A41,Справочник_KPI!$A:$A,0)),"")</f>
        <v>last</v>
      </c>
      <c r="D41" s="26" t="n">
        <f aca="false">IFERROR(INDEX(План_месяцы!$P:$P,MATCH($A41,План_месяцы!$A:$A,0)),"")</f>
        <v>490</v>
      </c>
      <c r="E41" s="12" t="n">
        <f aca="false">COUNTIF(Факт_дни!$B:$B,$A41)</f>
        <v>17</v>
      </c>
      <c r="F41" s="12" t="n">
        <f aca="false">COUNTIF(Факт_недели!$B:$B,$A41)</f>
        <v>0</v>
      </c>
      <c r="G41" s="27" t="n">
        <f aca="false">IF(E41&gt;0,_xlfn.MAXIFS(Факт_дни!$A:$A,Факт_дни!$B:$B,$A41),IF(F41&gt;0,_xlfn.MAXIFS(Факт_недели!$A:$A,Факт_недели!$B:$B,$A41),""))</f>
        <v>46318</v>
      </c>
      <c r="H41" s="12" t="str">
        <f aca="false">IF(C41="formula","расчётный",IF(D41="","нет плана",IF(E41+F41=0,"нет фактов текущего периода","OK")))</f>
        <v>OK</v>
      </c>
    </row>
    <row r="42" customFormat="false" ht="15" hidden="false" customHeight="false" outlineLevel="0" collapsed="false">
      <c r="A42" s="13" t="s">
        <v>316</v>
      </c>
      <c r="B42" s="12" t="str">
        <f aca="false">IFERROR(INDEX(Справочник_KPI!$D:$D,MATCH($A42,Справочник_KPI!$A:$A,0)),"")</f>
        <v>Оборачиваемость запасов</v>
      </c>
      <c r="C42" s="12" t="str">
        <f aca="false">IFERROR(INDEX(Справочник_KPI!$G:$G,MATCH($A42,Справочник_KPI!$A:$A,0)),"")</f>
        <v>formula</v>
      </c>
      <c r="D42" s="26" t="str">
        <f aca="false">IFERROR(INDEX(План_месяцы!$P:$P,MATCH($A42,План_месяцы!$A:$A,0)),"")</f>
        <v/>
      </c>
      <c r="E42" s="12" t="n">
        <f aca="false">COUNTIF(Факт_дни!$B:$B,$A42)</f>
        <v>0</v>
      </c>
      <c r="F42" s="12" t="n">
        <f aca="false">COUNTIF(Факт_недели!$B:$B,$A42)</f>
        <v>0</v>
      </c>
      <c r="G42" s="27" t="str">
        <f aca="false">IF(E42&gt;0,_xlfn.MAXIFS(Факт_дни!$A:$A,Факт_дни!$B:$B,$A42),IF(F42&gt;0,_xlfn.MAXIFS(Факт_недели!$A:$A,Факт_недели!$B:$B,$A42),""))</f>
        <v/>
      </c>
      <c r="H42" s="12" t="str">
        <f aca="false">IF(C42="formula","расчётный",IF(D42="","нет плана",IF(E42+F42=0,"нет фактов текущего периода","OK")))</f>
        <v>расчётный</v>
      </c>
    </row>
    <row r="43" customFormat="false" ht="15" hidden="false" customHeight="false" outlineLevel="0" collapsed="false">
      <c r="A43" s="13" t="s">
        <v>322</v>
      </c>
      <c r="B43" s="12" t="str">
        <f aca="false">IFERROR(INDEX(Справочник_KPI!$D:$D,MATCH($A43,Справочник_KPI!$A:$A,0)),"")</f>
        <v>Неликвид и медленные (&gt; 90 дн.)</v>
      </c>
      <c r="C43" s="12" t="str">
        <f aca="false">IFERROR(INDEX(Справочник_KPI!$G:$G,MATCH($A43,Справочник_KPI!$A:$A,0)),"")</f>
        <v>last</v>
      </c>
      <c r="D43" s="26" t="n">
        <f aca="false">IFERROR(INDEX(План_месяцы!$P:$P,MATCH($A43,План_месяцы!$A:$A,0)),"")</f>
        <v>3.5</v>
      </c>
      <c r="E43" s="12" t="n">
        <f aca="false">COUNTIF(Факт_дни!$B:$B,$A43)</f>
        <v>0</v>
      </c>
      <c r="F43" s="12" t="n">
        <f aca="false">COUNTIF(Факт_недели!$B:$B,$A43)</f>
        <v>4</v>
      </c>
      <c r="G43" s="27" t="n">
        <f aca="false">IF(E43&gt;0,_xlfn.MAXIFS(Факт_дни!$A:$A,Факт_дни!$B:$B,$A43),IF(F43&gt;0,_xlfn.MAXIFS(Факт_недели!$A:$A,Факт_недели!$B:$B,$A43),""))</f>
        <v>46314</v>
      </c>
      <c r="H43" s="12" t="str">
        <f aca="false">IF(C43="formula","расчётный",IF(D43="","нет плана",IF(E43+F43=0,"нет фактов текущего периода","OK")))</f>
        <v>OK</v>
      </c>
    </row>
    <row r="44" customFormat="false" ht="15" hidden="false" customHeight="false" outlineLevel="0" collapsed="false">
      <c r="A44" s="13" t="s">
        <v>327</v>
      </c>
      <c r="B44" s="12" t="str">
        <f aca="false">IFERROR(INDEX(Справочник_KPI!$D:$D,MATCH($A44,Справочник_KPI!$A:$A,0)),"")</f>
        <v>Списания (служебный)</v>
      </c>
      <c r="C44" s="12" t="str">
        <f aca="false">IFERROR(INDEX(Справочник_KPI!$G:$G,MATCH($A44,Справочник_KPI!$A:$A,0)),"")</f>
        <v>sum</v>
      </c>
      <c r="D44" s="26" t="n">
        <f aca="false">IFERROR(INDEX(План_месяцы!$P:$P,MATCH($A44,План_месяцы!$A:$A,0)),"")</f>
        <v>21.6</v>
      </c>
      <c r="E44" s="12" t="n">
        <f aca="false">COUNTIF(Факт_дни!$B:$B,$A44)</f>
        <v>17</v>
      </c>
      <c r="F44" s="12" t="n">
        <f aca="false">COUNTIF(Факт_недели!$B:$B,$A44)</f>
        <v>0</v>
      </c>
      <c r="G44" s="27" t="n">
        <f aca="false">IF(E44&gt;0,_xlfn.MAXIFS(Факт_дни!$A:$A,Факт_дни!$B:$B,$A44),IF(F44&gt;0,_xlfn.MAXIFS(Факт_недели!$A:$A,Факт_недели!$B:$B,$A44),""))</f>
        <v>46318</v>
      </c>
      <c r="H44" s="12" t="str">
        <f aca="false">IF(C44="formula","расчётный",IF(D44="","нет плана",IF(E44+F44=0,"нет фактов текущего периода","OK")))</f>
        <v>OK</v>
      </c>
    </row>
    <row r="45" customFormat="false" ht="15" hidden="false" customHeight="false" outlineLevel="0" collapsed="false">
      <c r="A45" s="13" t="s">
        <v>331</v>
      </c>
      <c r="B45" s="12" t="str">
        <f aca="false">IFERROR(INDEX(Справочник_KPI!$D:$D,MATCH($A45,Справочник_KPI!$A:$A,0)),"")</f>
        <v>Списания, % выручки</v>
      </c>
      <c r="C45" s="12" t="str">
        <f aca="false">IFERROR(INDEX(Справочник_KPI!$G:$G,MATCH($A45,Справочник_KPI!$A:$A,0)),"")</f>
        <v>formula</v>
      </c>
      <c r="D45" s="26" t="str">
        <f aca="false">IFERROR(INDEX(План_месяцы!$P:$P,MATCH($A45,План_месяцы!$A:$A,0)),"")</f>
        <v/>
      </c>
      <c r="E45" s="12" t="n">
        <f aca="false">COUNTIF(Факт_дни!$B:$B,$A45)</f>
        <v>0</v>
      </c>
      <c r="F45" s="12" t="n">
        <f aca="false">COUNTIF(Факт_недели!$B:$B,$A45)</f>
        <v>0</v>
      </c>
      <c r="G45" s="27" t="str">
        <f aca="false">IF(E45&gt;0,_xlfn.MAXIFS(Факт_дни!$A:$A,Факт_дни!$B:$B,$A45),IF(F45&gt;0,_xlfn.MAXIFS(Факт_недели!$A:$A,Факт_недели!$B:$B,$A45),""))</f>
        <v/>
      </c>
      <c r="H45" s="12" t="str">
        <f aca="false">IF(C45="formula","расчётный",IF(D45="","нет плана",IF(E45+F45=0,"нет фактов текущего периода","OK")))</f>
        <v>расчётный</v>
      </c>
    </row>
    <row r="46" customFormat="false" ht="15" hidden="false" customHeight="false" outlineLevel="0" collapsed="false">
      <c r="A46" s="13" t="s">
        <v>336</v>
      </c>
      <c r="B46" s="12" t="str">
        <f aca="false">IFERROR(INDEX(Справочник_KPI!$D:$D,MATCH($A46,Справочник_KPI!$A:$A,0)),"")</f>
        <v>Out-of-stock на складе</v>
      </c>
      <c r="C46" s="12" t="str">
        <f aca="false">IFERROR(INDEX(Справочник_KPI!$G:$G,MATCH($A46,Справочник_KPI!$A:$A,0)),"")</f>
        <v>avg</v>
      </c>
      <c r="D46" s="26" t="n">
        <f aca="false">IFERROR(INDEX(План_месяцы!$P:$P,MATCH($A46,План_месяцы!$A:$A,0)),"")</f>
        <v>2.5</v>
      </c>
      <c r="E46" s="12" t="n">
        <f aca="false">COUNTIF(Факт_дни!$B:$B,$A46)</f>
        <v>17</v>
      </c>
      <c r="F46" s="12" t="n">
        <f aca="false">COUNTIF(Факт_недели!$B:$B,$A46)</f>
        <v>0</v>
      </c>
      <c r="G46" s="27" t="n">
        <f aca="false">IF(E46&gt;0,_xlfn.MAXIFS(Факт_дни!$A:$A,Факт_дни!$B:$B,$A46),IF(F46&gt;0,_xlfn.MAXIFS(Факт_недели!$A:$A,Факт_недели!$B:$B,$A46),""))</f>
        <v>46318</v>
      </c>
      <c r="H46" s="12" t="str">
        <f aca="false">IF(C46="formula","расчётный",IF(D46="","нет плана",IF(E46+F46=0,"нет фактов текущего периода","OK")))</f>
        <v>OK</v>
      </c>
    </row>
    <row r="47" customFormat="false" ht="15" hidden="false" customHeight="false" outlineLevel="0" collapsed="false">
      <c r="A47" s="13" t="s">
        <v>342</v>
      </c>
      <c r="B47" s="12" t="str">
        <f aca="false">IFERROR(INDEX(Справочник_KPI!$D:$D,MATCH($A47,Справочник_KPI!$A:$A,0)),"")</f>
        <v>Fill rate склада (по строкам)</v>
      </c>
      <c r="C47" s="12" t="str">
        <f aca="false">IFERROR(INDEX(Справочник_KPI!$G:$G,MATCH($A47,Справочник_KPI!$A:$A,0)),"")</f>
        <v>avg</v>
      </c>
      <c r="D47" s="26" t="n">
        <f aca="false">IFERROR(INDEX(План_месяцы!$P:$P,MATCH($A47,План_месяцы!$A:$A,0)),"")</f>
        <v>97.5</v>
      </c>
      <c r="E47" s="12" t="n">
        <f aca="false">COUNTIF(Факт_дни!$B:$B,$A47)</f>
        <v>17</v>
      </c>
      <c r="F47" s="12" t="n">
        <f aca="false">COUNTIF(Факт_недели!$B:$B,$A47)</f>
        <v>0</v>
      </c>
      <c r="G47" s="27" t="n">
        <f aca="false">IF(E47&gt;0,_xlfn.MAXIFS(Факт_дни!$A:$A,Факт_дни!$B:$B,$A47),IF(F47&gt;0,_xlfn.MAXIFS(Факт_недели!$A:$A,Факт_недели!$B:$B,$A47),""))</f>
        <v>46318</v>
      </c>
      <c r="H47" s="12" t="str">
        <f aca="false">IF(C47="formula","расчётный",IF(D47="","нет плана",IF(E47+F47=0,"нет фактов текущего периода","OK")))</f>
        <v>OK</v>
      </c>
    </row>
    <row r="48" customFormat="false" ht="15" hidden="false" customHeight="false" outlineLevel="0" collapsed="false">
      <c r="A48" s="13" t="s">
        <v>347</v>
      </c>
      <c r="B48" s="12" t="str">
        <f aca="false">IFERROR(INDEX(Справочник_KPI!$D:$D,MATCH($A48,Справочник_KPI!$A:$A,0)),"")</f>
        <v>OTIF поставщиков</v>
      </c>
      <c r="C48" s="12" t="str">
        <f aca="false">IFERROR(INDEX(Справочник_KPI!$G:$G,MATCH($A48,Справочник_KPI!$A:$A,0)),"")</f>
        <v>avg</v>
      </c>
      <c r="D48" s="26" t="n">
        <f aca="false">IFERROR(INDEX(План_месяцы!$P:$P,MATCH($A48,План_месяцы!$A:$A,0)),"")</f>
        <v>92</v>
      </c>
      <c r="E48" s="12" t="n">
        <f aca="false">COUNTIF(Факт_дни!$B:$B,$A48)</f>
        <v>17</v>
      </c>
      <c r="F48" s="12" t="n">
        <f aca="false">COUNTIF(Факт_недели!$B:$B,$A48)</f>
        <v>0</v>
      </c>
      <c r="G48" s="27" t="n">
        <f aca="false">IF(E48&gt;0,_xlfn.MAXIFS(Факт_дни!$A:$A,Факт_дни!$B:$B,$A48),IF(F48&gt;0,_xlfn.MAXIFS(Факт_недели!$A:$A,Факт_недели!$B:$B,$A48),""))</f>
        <v>46318</v>
      </c>
      <c r="H48" s="12" t="str">
        <f aca="false">IF(C48="formula","расчётный",IF(D48="","нет плана",IF(E48+F48=0,"нет фактов текущего периода","OK")))</f>
        <v>OK</v>
      </c>
    </row>
    <row r="49" customFormat="false" ht="15" hidden="false" customHeight="false" outlineLevel="0" collapsed="false">
      <c r="A49" s="13" t="s">
        <v>353</v>
      </c>
      <c r="B49" s="12" t="str">
        <f aca="false">IFERROR(INDEX(Справочник_KPI!$D:$D,MATCH($A49,Справочник_KPI!$A:$A,0)),"")</f>
        <v>Точность прогноза спроса</v>
      </c>
      <c r="C49" s="12" t="str">
        <f aca="false">IFERROR(INDEX(Справочник_KPI!$G:$G,MATCH($A49,Справочник_KPI!$A:$A,0)),"")</f>
        <v>last</v>
      </c>
      <c r="D49" s="26" t="n">
        <f aca="false">IFERROR(INDEX(План_месяцы!$P:$P,MATCH($A49,План_месяцы!$A:$A,0)),"")</f>
        <v>81</v>
      </c>
      <c r="E49" s="12" t="n">
        <f aca="false">COUNTIF(Факт_дни!$B:$B,$A49)</f>
        <v>0</v>
      </c>
      <c r="F49" s="12" t="n">
        <f aca="false">COUNTIF(Факт_недели!$B:$B,$A49)</f>
        <v>4</v>
      </c>
      <c r="G49" s="27" t="n">
        <f aca="false">IF(E49&gt;0,_xlfn.MAXIFS(Факт_дни!$A:$A,Факт_дни!$B:$B,$A49),IF(F49&gt;0,_xlfn.MAXIFS(Факт_недели!$A:$A,Факт_недели!$B:$B,$A49),""))</f>
        <v>46314</v>
      </c>
      <c r="H49" s="12" t="str">
        <f aca="false">IF(C49="formula","расчётный",IF(D49="","нет плана",IF(E49+F49=0,"нет фактов текущего периода","OK")))</f>
        <v>OK</v>
      </c>
    </row>
    <row r="50" customFormat="false" ht="15" hidden="false" customHeight="false" outlineLevel="0" collapsed="false">
      <c r="A50" s="13" t="s">
        <v>358</v>
      </c>
      <c r="B50" s="12" t="str">
        <f aca="false">IFERROR(INDEX(Справочник_KPI!$D:$D,MATCH($A50,Справочник_KPI!$A:$A,0)),"")</f>
        <v>Бонусы поставщиков (back margin)</v>
      </c>
      <c r="C50" s="12" t="str">
        <f aca="false">IFERROR(INDEX(Справочник_KPI!$G:$G,MATCH($A50,Справочник_KPI!$A:$A,0)),"")</f>
        <v>last</v>
      </c>
      <c r="D50" s="26" t="n">
        <f aca="false">IFERROR(INDEX(План_месяцы!$P:$P,MATCH($A50,План_месяцы!$A:$A,0)),"")</f>
        <v>4.6</v>
      </c>
      <c r="E50" s="12" t="n">
        <f aca="false">COUNTIF(Факт_дни!$B:$B,$A50)</f>
        <v>0</v>
      </c>
      <c r="F50" s="12" t="n">
        <f aca="false">COUNTIF(Факт_недели!$B:$B,$A50)</f>
        <v>4</v>
      </c>
      <c r="G50" s="27" t="n">
        <f aca="false">IF(E50&gt;0,_xlfn.MAXIFS(Факт_дни!$A:$A,Факт_дни!$B:$B,$A50),IF(F50&gt;0,_xlfn.MAXIFS(Факт_недели!$A:$A,Факт_недели!$B:$B,$A50),""))</f>
        <v>46314</v>
      </c>
      <c r="H50" s="12" t="str">
        <f aca="false">IF(C50="formula","расчётный",IF(D50="","нет плана",IF(E50+F50=0,"нет фактов текущего периода","OK")))</f>
        <v>OK</v>
      </c>
    </row>
    <row r="51" customFormat="false" ht="15" hidden="false" customHeight="false" outlineLevel="0" collapsed="false">
      <c r="A51" s="13" t="s">
        <v>364</v>
      </c>
      <c r="B51" s="12" t="str">
        <f aca="false">IFERROR(INDEX(Справочник_KPI!$D:$D,MATCH($A51,Справочник_KPI!$A:$A,0)),"")</f>
        <v>Экономия на закупках</v>
      </c>
      <c r="C51" s="12" t="str">
        <f aca="false">IFERROR(INDEX(Справочник_KPI!$G:$G,MATCH($A51,Справочник_KPI!$A:$A,0)),"")</f>
        <v>sum</v>
      </c>
      <c r="D51" s="26" t="n">
        <f aca="false">IFERROR(INDEX(План_месяцы!$P:$P,MATCH($A51,План_месяцы!$A:$A,0)),"")</f>
        <v>41.99</v>
      </c>
      <c r="E51" s="12" t="n">
        <f aca="false">COUNTIF(Факт_дни!$B:$B,$A51)</f>
        <v>17</v>
      </c>
      <c r="F51" s="12" t="n">
        <f aca="false">COUNTIF(Факт_недели!$B:$B,$A51)</f>
        <v>0</v>
      </c>
      <c r="G51" s="27" t="n">
        <f aca="false">IF(E51&gt;0,_xlfn.MAXIFS(Факт_дни!$A:$A,Факт_дни!$B:$B,$A51),IF(F51&gt;0,_xlfn.MAXIFS(Факт_недели!$A:$A,Факт_недели!$B:$B,$A51),""))</f>
        <v>46318</v>
      </c>
      <c r="H51" s="12" t="str">
        <f aca="false">IF(C51="formula","расчётный",IF(D51="","нет плана",IF(E51+F51=0,"нет фактов текущего периода","OK")))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2026-10-26T12:08:03Z</dcterms:created>
  <dc:creator>openpyxl</dc:creator>
  <dc:description/>
  <dc:language>en-US</dc:language>
  <cp:lastModifiedBy/>
  <dcterms:modified xsi:type="dcterms:W3CDTF">2026-10-26T12:08:04Z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